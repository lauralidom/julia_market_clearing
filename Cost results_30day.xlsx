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neteu-my.sharepoint.com/personal/laura_linuesa-domenech_tennet_eu/Documents/Thesis/Code/"/>
    </mc:Choice>
  </mc:AlternateContent>
  <xr:revisionPtr revIDLastSave="309" documentId="8_{BA558C3F-E59C-4F04-9D2E-8441DAA40C29}" xr6:coauthVersionLast="47" xr6:coauthVersionMax="47" xr10:uidLastSave="{C1452A17-206B-41BF-8A89-874574C543FD}"/>
  <bookViews>
    <workbookView xWindow="40470" yWindow="-16065" windowWidth="29040" windowHeight="15720" activeTab="2" xr2:uid="{4AE1EDD8-8ACF-4AF9-86A6-B0088C54F040}"/>
  </bookViews>
  <sheets>
    <sheet name="clear_freq=1" sheetId="1" r:id="rId1"/>
    <sheet name="clear_freq=3" sheetId="6" r:id="rId2"/>
    <sheet name="clear_freq=6" sheetId="5" r:id="rId3"/>
    <sheet name="Comparison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" l="1"/>
  <c r="F7" i="7"/>
  <c r="F6" i="7"/>
  <c r="F4" i="7"/>
  <c r="F8" i="7"/>
  <c r="F9" i="7"/>
  <c r="F10" i="7"/>
  <c r="F3" i="7"/>
  <c r="E7" i="7"/>
  <c r="E8" i="7"/>
  <c r="E9" i="7"/>
  <c r="E10" i="7"/>
  <c r="E4" i="7"/>
  <c r="E3" i="7"/>
  <c r="B3" i="7"/>
  <c r="D7" i="7"/>
  <c r="D8" i="7"/>
  <c r="D9" i="7"/>
  <c r="D10" i="7"/>
  <c r="C7" i="7"/>
  <c r="C8" i="7"/>
  <c r="C9" i="7"/>
  <c r="C10" i="7"/>
  <c r="B7" i="7"/>
  <c r="B8" i="7"/>
  <c r="B9" i="7"/>
  <c r="B10" i="7"/>
  <c r="B6" i="7"/>
  <c r="D4" i="7"/>
  <c r="C4" i="7"/>
  <c r="B4" i="7"/>
  <c r="D3" i="7"/>
  <c r="C3" i="7"/>
</calcChain>
</file>

<file path=xl/sharedStrings.xml><?xml version="1.0" encoding="utf-8"?>
<sst xmlns="http://schemas.openxmlformats.org/spreadsheetml/2006/main" count="216" uniqueCount="50">
  <si>
    <t>ECONOMIC SUMMARY</t>
  </si>
  <si>
    <t>Generator</t>
  </si>
  <si>
    <t>Energy (MWh)</t>
  </si>
  <si>
    <t>Revenue (EUR)</t>
  </si>
  <si>
    <t>Avg Price</t>
  </si>
  <si>
    <t>Base</t>
  </si>
  <si>
    <t>Peak</t>
  </si>
  <si>
    <t>Wind</t>
  </si>
  <si>
    <t>Total</t>
  </si>
  <si>
    <t>Net Revenue</t>
  </si>
  <si>
    <t>Net Traded</t>
  </si>
  <si>
    <t>Gross Traded</t>
  </si>
  <si>
    <t>Total Net Revenue</t>
  </si>
  <si>
    <t>GENERATOR COSTS (Production Costs)</t>
  </si>
  <si>
    <t>Total System Cost</t>
  </si>
  <si>
    <t>Average per Clearing</t>
  </si>
  <si>
    <t>GENERATOR PROFITS (Full Revenue - Cost)</t>
  </si>
  <si>
    <t>Total Generator Profit</t>
  </si>
  <si>
    <t>STORAGE REVENUE</t>
  </si>
  <si>
    <t>Avg Discharge Price (EUR/MWh)</t>
  </si>
  <si>
    <t>Avg Charging Price (EUR/MWh)</t>
  </si>
  <si>
    <t>Discharge Revenue (EUR)</t>
  </si>
  <si>
    <t>Charging Cost (EUR)</t>
  </si>
  <si>
    <t>Net Storage Revenue (EUR)</t>
  </si>
  <si>
    <t>Average per Clearing (EUR)</t>
  </si>
  <si>
    <t>Σ net trades</t>
  </si>
  <si>
    <t>Σ executed</t>
  </si>
  <si>
    <t>Max |Δ| per hour</t>
  </si>
  <si>
    <t>PRODUCER REVENUES (Executed-only)</t>
  </si>
  <si>
    <t>TOTAL FINANCIAL REVENUE (Incl. financial repositions → sum(q*price))</t>
  </si>
  <si>
    <t>DELIVERY-HOUR CHECK (sum all q for that hour vs g_planned[g,1])</t>
  </si>
  <si>
    <t>Revenue/Day (EUR)</t>
  </si>
  <si>
    <t>Mid</t>
  </si>
  <si>
    <t>Solar</t>
  </si>
  <si>
    <t>Revenue/Day</t>
  </si>
  <si>
    <t>Total Cost (EUR)</t>
  </si>
  <si>
    <t>Cost/Day (EUR)</t>
  </si>
  <si>
    <t>Total Profit (EUR)</t>
  </si>
  <si>
    <t>Profit/Day (EUR)</t>
  </si>
  <si>
    <t>Metric</t>
  </si>
  <si>
    <t>Per Day</t>
  </si>
  <si>
    <t>Energy Discharged (MWh)</t>
  </si>
  <si>
    <t>Energy Charged (MWh)</t>
  </si>
  <si>
    <t>Total system costs per day</t>
  </si>
  <si>
    <t>Gross traded volume/day</t>
  </si>
  <si>
    <t>Net storage revenue/day</t>
  </si>
  <si>
    <t>Changes</t>
  </si>
  <si>
    <t>Reclearing frequency</t>
  </si>
  <si>
    <t>1-3h change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</si>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</sst>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 * #,##0_ ;_ * \-#,##0_ ;_ * &quot;-&quot;??_ ;_ @_ 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right"/>
    </xf>
    <xf numFmtId="166" fontId="0" fillId="0" borderId="0" xfId="1" applyNumberFormat="1" applyFont="1"/>
    <xf numFmtId="166" fontId="0" fillId="3" borderId="0" xfId="1" applyNumberFormat="1" applyFont="1" applyFill="1"/>
    <xf numFmtId="166" fontId="0" fillId="4" borderId="0" xfId="1" applyNumberFormat="1" applyFont="1" applyFill="1"/>
    <xf numFmtId="166" fontId="0" fillId="5" borderId="0" xfId="1" applyNumberFormat="1" applyFont="1" applyFill="1"/>
    <xf numFmtId="166" fontId="0" fillId="6" borderId="0" xfId="1" applyNumberFormat="1" applyFont="1" applyFill="1"/>
    <xf numFmtId="166" fontId="0" fillId="7" borderId="0" xfId="1" applyNumberFormat="1" applyFont="1" applyFill="1"/>
    <xf numFmtId="166" fontId="0" fillId="0" borderId="0" xfId="0" applyNumberFormat="1"/>
    <xf numFmtId="166" fontId="0" fillId="0" borderId="0" xfId="1" applyNumberFormat="1" applyFont="1" applyFill="1"/>
    <xf numFmtId="0" fontId="0" fillId="0" borderId="0" xfId="0" applyAlignment="1">
      <alignment horizontal="center"/>
    </xf>
    <xf numFmtId="9" fontId="0" fillId="0" borderId="0" xfId="2" applyFont="1"/>
    <xf numFmtId="10" fontId="0" fillId="0" borderId="0" xfId="2" applyNumberFormat="1" applyFont="1"/>
    <xf numFmtId="9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20CF-47AC-4350-B2BB-3AA83C8195C6}">
  <dimension ref="A1:F61"/>
  <sheetViews>
    <sheetView topLeftCell="A29" zoomScale="85" zoomScaleNormal="85" workbookViewId="0">
      <selection activeCell="C46" sqref="C46:C48"/>
    </sheetView>
  </sheetViews>
  <sheetFormatPr defaultRowHeight="12.75" x14ac:dyDescent="0.35"/>
  <cols>
    <col min="1" max="1" width="25.73046875" customWidth="1"/>
    <col min="2" max="3" width="14.46484375" bestFit="1" customWidth="1"/>
    <col min="4" max="5" width="12.3984375" bestFit="1" customWidth="1"/>
  </cols>
  <sheetData>
    <row r="1" spans="1:6" x14ac:dyDescent="0.35">
      <c r="A1" t="s">
        <v>0</v>
      </c>
    </row>
    <row r="3" spans="1:6" x14ac:dyDescent="0.35">
      <c r="A3" s="2" t="s">
        <v>28</v>
      </c>
      <c r="B3" s="2"/>
      <c r="C3" s="2"/>
      <c r="D3" s="2"/>
      <c r="E3" s="2"/>
    </row>
    <row r="4" spans="1:6" x14ac:dyDescent="0.35">
      <c r="A4" t="s">
        <v>1</v>
      </c>
      <c r="B4" s="1" t="s">
        <v>2</v>
      </c>
      <c r="C4" s="1" t="s">
        <v>3</v>
      </c>
      <c r="D4" s="1" t="s">
        <v>4</v>
      </c>
      <c r="E4" s="1" t="s">
        <v>31</v>
      </c>
      <c r="F4" s="1"/>
    </row>
    <row r="5" spans="1:6" x14ac:dyDescent="0.35">
      <c r="A5" t="s">
        <v>5</v>
      </c>
      <c r="B5" s="9">
        <v>697000</v>
      </c>
      <c r="C5" s="9">
        <v>62009814.814814821</v>
      </c>
      <c r="D5" s="9">
        <v>88.966735745788839</v>
      </c>
      <c r="E5" s="9">
        <v>2066993.8271604939</v>
      </c>
      <c r="F5" s="1"/>
    </row>
    <row r="6" spans="1:6" x14ac:dyDescent="0.35">
      <c r="A6" t="s">
        <v>32</v>
      </c>
      <c r="B6" s="9">
        <v>325072.16644598456</v>
      </c>
      <c r="C6" s="9">
        <v>29241214.558059834</v>
      </c>
      <c r="D6" s="9">
        <v>89.952993754445856</v>
      </c>
      <c r="E6" s="9">
        <v>974707.1519353278</v>
      </c>
      <c r="F6" s="1"/>
    </row>
    <row r="7" spans="1:6" x14ac:dyDescent="0.35">
      <c r="A7" t="s">
        <v>6</v>
      </c>
      <c r="B7" s="9">
        <v>64715.027354728212</v>
      </c>
      <c r="C7" s="9">
        <v>6471502.735472816</v>
      </c>
      <c r="D7" s="9">
        <v>99.999999999999915</v>
      </c>
      <c r="E7" s="9">
        <v>215716.75784909388</v>
      </c>
      <c r="F7" s="1"/>
    </row>
    <row r="8" spans="1:6" x14ac:dyDescent="0.35">
      <c r="A8" t="s">
        <v>33</v>
      </c>
      <c r="B8" s="9">
        <v>60030</v>
      </c>
      <c r="C8" s="9">
        <v>6003000</v>
      </c>
      <c r="D8" s="9">
        <v>100</v>
      </c>
      <c r="E8" s="9">
        <v>200100</v>
      </c>
      <c r="F8" s="1"/>
    </row>
    <row r="9" spans="1:6" x14ac:dyDescent="0.35">
      <c r="A9" t="s">
        <v>7</v>
      </c>
      <c r="B9" s="9">
        <v>312150</v>
      </c>
      <c r="C9" s="9">
        <v>28031838.888888884</v>
      </c>
      <c r="D9" s="9">
        <v>89.802463203232051</v>
      </c>
      <c r="E9" s="9">
        <v>934394.62962962943</v>
      </c>
      <c r="F9" s="1"/>
    </row>
    <row r="10" spans="1:6" x14ac:dyDescent="0.35">
      <c r="A10" t="s">
        <v>8</v>
      </c>
      <c r="B10" s="9">
        <v>1458967.1938007127</v>
      </c>
      <c r="C10" s="9">
        <v>131757370.99723634</v>
      </c>
      <c r="D10" s="9"/>
      <c r="E10" s="9">
        <v>4391912.3665745445</v>
      </c>
      <c r="F10" s="1"/>
    </row>
    <row r="11" spans="1:6" x14ac:dyDescent="0.35">
      <c r="B11" s="9"/>
      <c r="C11" s="9"/>
      <c r="D11" s="9"/>
      <c r="E11" s="9"/>
      <c r="F11" s="1"/>
    </row>
    <row r="12" spans="1:6" x14ac:dyDescent="0.35">
      <c r="A12" s="3" t="s">
        <v>29</v>
      </c>
      <c r="B12" s="10"/>
      <c r="C12" s="10"/>
      <c r="D12" s="10"/>
      <c r="E12" s="10"/>
      <c r="F12" s="1"/>
    </row>
    <row r="13" spans="1:6" x14ac:dyDescent="0.35">
      <c r="A13" t="s">
        <v>1</v>
      </c>
      <c r="B13" s="9" t="s">
        <v>9</v>
      </c>
      <c r="C13" s="9" t="s">
        <v>10</v>
      </c>
      <c r="D13" s="9" t="s">
        <v>11</v>
      </c>
      <c r="E13" s="9" t="s">
        <v>34</v>
      </c>
      <c r="F13" s="1"/>
    </row>
    <row r="14" spans="1:6" x14ac:dyDescent="0.35">
      <c r="A14" t="s">
        <v>5</v>
      </c>
      <c r="B14" s="9">
        <v>56406672.396526419</v>
      </c>
      <c r="C14" s="9">
        <v>720000</v>
      </c>
      <c r="D14" s="9">
        <v>720000</v>
      </c>
      <c r="E14" s="16">
        <v>1880222.4132175473</v>
      </c>
      <c r="F14" s="1"/>
    </row>
    <row r="15" spans="1:6" x14ac:dyDescent="0.35">
      <c r="A15" t="s">
        <v>32</v>
      </c>
      <c r="B15" s="9">
        <v>29604285.880776655</v>
      </c>
      <c r="C15" s="9">
        <v>335951.66164125327</v>
      </c>
      <c r="D15" s="9">
        <v>1093991.0760498121</v>
      </c>
      <c r="E15" s="9">
        <v>986809.52935922181</v>
      </c>
      <c r="F15" s="1"/>
    </row>
    <row r="16" spans="1:6" x14ac:dyDescent="0.35">
      <c r="A16" t="s">
        <v>6</v>
      </c>
      <c r="B16" s="9">
        <v>11063521.969490819</v>
      </c>
      <c r="C16" s="9">
        <v>67276.122183125626</v>
      </c>
      <c r="D16" s="9">
        <v>1501739.340477908</v>
      </c>
      <c r="E16" s="9">
        <v>368784.06564969395</v>
      </c>
      <c r="F16" s="1"/>
    </row>
    <row r="17" spans="1:6" x14ac:dyDescent="0.35">
      <c r="A17" t="s">
        <v>33</v>
      </c>
      <c r="B17" s="9">
        <v>5489585.5555555541</v>
      </c>
      <c r="C17" s="9">
        <v>62100</v>
      </c>
      <c r="D17" s="9">
        <v>62100</v>
      </c>
      <c r="E17" s="9">
        <v>182986.18518518514</v>
      </c>
      <c r="F17" s="1"/>
    </row>
    <row r="18" spans="1:6" x14ac:dyDescent="0.35">
      <c r="A18" t="s">
        <v>7</v>
      </c>
      <c r="B18" s="9">
        <v>12546795.071710816</v>
      </c>
      <c r="C18" s="9">
        <v>322187.81960594992</v>
      </c>
      <c r="D18" s="9">
        <v>2833463.9949788712</v>
      </c>
      <c r="E18" s="9">
        <v>418226.50239036052</v>
      </c>
      <c r="F18" s="1"/>
    </row>
    <row r="19" spans="1:6" x14ac:dyDescent="0.35">
      <c r="A19" t="s">
        <v>12</v>
      </c>
      <c r="B19" s="9">
        <v>115110860.87406024</v>
      </c>
      <c r="C19" s="9"/>
      <c r="D19" s="9"/>
      <c r="E19" s="9">
        <v>3837028.6958020083</v>
      </c>
      <c r="F19" s="1"/>
    </row>
    <row r="20" spans="1:6" x14ac:dyDescent="0.35">
      <c r="B20" s="9"/>
      <c r="C20" s="9"/>
      <c r="D20" s="9"/>
      <c r="E20" s="9"/>
      <c r="F20" s="1"/>
    </row>
    <row r="21" spans="1:6" x14ac:dyDescent="0.35">
      <c r="A21" s="4" t="s">
        <v>13</v>
      </c>
      <c r="B21" s="11"/>
      <c r="C21" s="11"/>
      <c r="D21" s="9"/>
      <c r="E21" s="9"/>
      <c r="F21" s="1"/>
    </row>
    <row r="22" spans="1:6" x14ac:dyDescent="0.35">
      <c r="A22" t="s">
        <v>1</v>
      </c>
      <c r="B22" s="9" t="s">
        <v>35</v>
      </c>
      <c r="C22" s="9" t="s">
        <v>36</v>
      </c>
      <c r="D22" s="9"/>
      <c r="E22" s="9"/>
      <c r="F22" s="1"/>
    </row>
    <row r="23" spans="1:6" x14ac:dyDescent="0.35">
      <c r="A23" t="s">
        <v>5</v>
      </c>
      <c r="B23" s="9">
        <v>20910000</v>
      </c>
      <c r="C23" s="9">
        <v>697000</v>
      </c>
      <c r="D23" s="9"/>
      <c r="E23" s="9"/>
      <c r="F23" s="1"/>
    </row>
    <row r="24" spans="1:6" x14ac:dyDescent="0.35">
      <c r="A24" t="s">
        <v>32</v>
      </c>
      <c r="B24" s="9">
        <v>19504329.986759081</v>
      </c>
      <c r="C24" s="9">
        <v>650144.33289196936</v>
      </c>
      <c r="D24" s="9"/>
      <c r="E24" s="9"/>
      <c r="F24" s="1"/>
    </row>
    <row r="25" spans="1:6" x14ac:dyDescent="0.35">
      <c r="A25" t="s">
        <v>6</v>
      </c>
      <c r="B25" s="9">
        <v>6471502.735472816</v>
      </c>
      <c r="C25" s="9">
        <v>215716.75784909388</v>
      </c>
      <c r="D25" s="9"/>
      <c r="E25" s="9"/>
      <c r="F25" s="1"/>
    </row>
    <row r="26" spans="1:6" x14ac:dyDescent="0.35">
      <c r="A26" t="s">
        <v>33</v>
      </c>
      <c r="B26" s="9">
        <v>0</v>
      </c>
      <c r="C26" s="9">
        <v>0</v>
      </c>
      <c r="D26" s="9"/>
      <c r="E26" s="9"/>
      <c r="F26" s="1"/>
    </row>
    <row r="27" spans="1:6" x14ac:dyDescent="0.35">
      <c r="A27" t="s">
        <v>7</v>
      </c>
      <c r="B27" s="9">
        <v>0</v>
      </c>
      <c r="C27" s="9">
        <v>0</v>
      </c>
      <c r="D27" s="9"/>
      <c r="E27" s="9"/>
      <c r="F27" s="1"/>
    </row>
    <row r="28" spans="1:6" x14ac:dyDescent="0.35">
      <c r="A28" t="s">
        <v>14</v>
      </c>
      <c r="B28" s="9">
        <v>46885832.722231895</v>
      </c>
      <c r="C28" s="9">
        <v>1562861.0907410632</v>
      </c>
      <c r="D28" s="9"/>
      <c r="E28" s="9"/>
      <c r="F28" s="1"/>
    </row>
    <row r="29" spans="1:6" x14ac:dyDescent="0.35">
      <c r="A29" t="s">
        <v>15</v>
      </c>
      <c r="B29" s="9">
        <v>67171.680117810742</v>
      </c>
      <c r="C29" s="9"/>
      <c r="D29" s="9"/>
      <c r="E29" s="9"/>
      <c r="F29" s="1"/>
    </row>
    <row r="30" spans="1:6" x14ac:dyDescent="0.35">
      <c r="B30" s="9"/>
      <c r="C30" s="9"/>
      <c r="D30" s="9"/>
      <c r="E30" s="9"/>
    </row>
    <row r="31" spans="1:6" x14ac:dyDescent="0.35">
      <c r="A31" s="5" t="s">
        <v>16</v>
      </c>
      <c r="B31" s="12"/>
      <c r="C31" s="12"/>
      <c r="D31" s="9"/>
      <c r="E31" s="9"/>
    </row>
    <row r="32" spans="1:6" x14ac:dyDescent="0.35">
      <c r="A32" t="s">
        <v>1</v>
      </c>
      <c r="B32" s="9" t="s">
        <v>37</v>
      </c>
      <c r="C32" s="9" t="s">
        <v>38</v>
      </c>
      <c r="D32" s="9"/>
      <c r="E32" s="9"/>
    </row>
    <row r="33" spans="1:5" x14ac:dyDescent="0.35">
      <c r="A33" t="s">
        <v>5</v>
      </c>
      <c r="B33" s="9">
        <v>35496672.396526419</v>
      </c>
      <c r="C33" s="16">
        <v>1183222.4132175473</v>
      </c>
      <c r="D33" s="9"/>
      <c r="E33" s="9"/>
    </row>
    <row r="34" spans="1:5" x14ac:dyDescent="0.35">
      <c r="A34" t="s">
        <v>32</v>
      </c>
      <c r="B34" s="9">
        <v>10099955.894017573</v>
      </c>
      <c r="C34" s="9">
        <v>336665.19646725245</v>
      </c>
      <c r="D34" s="9"/>
      <c r="E34" s="9"/>
    </row>
    <row r="35" spans="1:5" x14ac:dyDescent="0.35">
      <c r="A35" t="s">
        <v>6</v>
      </c>
      <c r="B35" s="9">
        <v>4592019.2340180026</v>
      </c>
      <c r="C35" s="9">
        <v>153067.3078006001</v>
      </c>
      <c r="D35" s="9"/>
      <c r="E35" s="9"/>
    </row>
    <row r="36" spans="1:5" x14ac:dyDescent="0.35">
      <c r="A36" t="s">
        <v>33</v>
      </c>
      <c r="B36" s="9">
        <v>5489585.5555555541</v>
      </c>
      <c r="C36" s="9">
        <v>182986.18518518514</v>
      </c>
      <c r="D36" s="9"/>
      <c r="E36" s="9"/>
    </row>
    <row r="37" spans="1:5" x14ac:dyDescent="0.35">
      <c r="A37" t="s">
        <v>7</v>
      </c>
      <c r="B37" s="9">
        <v>12546795.071710816</v>
      </c>
      <c r="C37" s="9">
        <v>418226.50239036052</v>
      </c>
      <c r="D37" s="9"/>
      <c r="E37" s="9"/>
    </row>
    <row r="38" spans="1:5" x14ac:dyDescent="0.35">
      <c r="A38" t="s">
        <v>17</v>
      </c>
      <c r="B38" s="9">
        <v>68225028.151828364</v>
      </c>
      <c r="C38" s="9">
        <v>2274167.6050609457</v>
      </c>
      <c r="D38" s="9"/>
      <c r="E38" s="9"/>
    </row>
    <row r="39" spans="1:5" x14ac:dyDescent="0.35">
      <c r="B39" s="9"/>
      <c r="C39" s="9"/>
      <c r="D39" s="9"/>
      <c r="E39" s="9"/>
    </row>
    <row r="40" spans="1:5" ht="12.4" customHeight="1" x14ac:dyDescent="0.35">
      <c r="A40" s="6" t="s">
        <v>18</v>
      </c>
      <c r="B40" s="13"/>
      <c r="C40" s="9"/>
      <c r="D40" s="9"/>
      <c r="E40" s="9"/>
    </row>
    <row r="41" spans="1:5" x14ac:dyDescent="0.35">
      <c r="A41" t="s">
        <v>39</v>
      </c>
      <c r="B41" s="9" t="s">
        <v>8</v>
      </c>
      <c r="C41" s="9" t="s">
        <v>40</v>
      </c>
      <c r="D41" s="9"/>
      <c r="E41" s="9"/>
    </row>
    <row r="42" spans="1:5" x14ac:dyDescent="0.35">
      <c r="A42" t="s">
        <v>41</v>
      </c>
      <c r="B42" s="9">
        <v>19100.858096999476</v>
      </c>
      <c r="C42" s="9">
        <v>636.69526989998258</v>
      </c>
      <c r="D42" s="9"/>
      <c r="E42" s="9"/>
    </row>
    <row r="43" spans="1:5" x14ac:dyDescent="0.35">
      <c r="A43" t="s">
        <v>42</v>
      </c>
      <c r="B43" s="9">
        <v>23646.472989460806</v>
      </c>
      <c r="C43" s="9">
        <v>788.21576631536016</v>
      </c>
      <c r="D43" s="9"/>
      <c r="E43" s="9"/>
    </row>
    <row r="44" spans="1:5" x14ac:dyDescent="0.35">
      <c r="A44" t="s">
        <v>19</v>
      </c>
      <c r="B44" s="9">
        <v>99.589434755299607</v>
      </c>
      <c r="C44" s="9"/>
      <c r="D44" s="9"/>
      <c r="E44" s="9"/>
    </row>
    <row r="45" spans="1:5" x14ac:dyDescent="0.35">
      <c r="A45" t="s">
        <v>20</v>
      </c>
      <c r="B45" s="9">
        <v>67.548346774653865</v>
      </c>
      <c r="C45" s="9"/>
      <c r="D45" s="9"/>
      <c r="E45" s="9"/>
    </row>
    <row r="46" spans="1:5" x14ac:dyDescent="0.35">
      <c r="A46" t="s">
        <v>21</v>
      </c>
      <c r="B46" s="9">
        <v>1902243.6612213657</v>
      </c>
      <c r="C46" s="9">
        <v>63408.122040712187</v>
      </c>
      <c r="D46" s="9"/>
      <c r="E46" s="9"/>
    </row>
    <row r="47" spans="1:5" x14ac:dyDescent="0.35">
      <c r="A47" t="s">
        <v>22</v>
      </c>
      <c r="B47" s="9">
        <v>1597280.1574895845</v>
      </c>
      <c r="C47" s="9">
        <v>53242.671916319487</v>
      </c>
      <c r="D47" s="9"/>
      <c r="E47" s="9"/>
    </row>
    <row r="48" spans="1:5" x14ac:dyDescent="0.35">
      <c r="A48" t="s">
        <v>23</v>
      </c>
      <c r="B48" s="9">
        <v>304963.50373178115</v>
      </c>
      <c r="C48" s="9">
        <v>10165.450124392704</v>
      </c>
      <c r="D48" s="9"/>
      <c r="E48" s="9"/>
    </row>
    <row r="49" spans="1:5" x14ac:dyDescent="0.35">
      <c r="A49" t="s">
        <v>24</v>
      </c>
      <c r="B49" s="9">
        <v>436.91046379911342</v>
      </c>
      <c r="C49" s="9"/>
      <c r="D49" s="9"/>
      <c r="E49" s="9"/>
    </row>
    <row r="50" spans="1:5" x14ac:dyDescent="0.35">
      <c r="B50" s="9"/>
      <c r="C50" s="9"/>
      <c r="D50" s="9"/>
      <c r="E50" s="9"/>
    </row>
    <row r="51" spans="1:5" x14ac:dyDescent="0.35">
      <c r="B51" s="9"/>
      <c r="C51" s="9"/>
      <c r="D51" s="9"/>
      <c r="E51" s="9"/>
    </row>
    <row r="52" spans="1:5" x14ac:dyDescent="0.35">
      <c r="A52" s="7" t="s">
        <v>30</v>
      </c>
      <c r="B52" s="14"/>
      <c r="C52" s="14"/>
      <c r="D52" s="14"/>
      <c r="E52" s="9"/>
    </row>
    <row r="53" spans="1:5" x14ac:dyDescent="0.35">
      <c r="A53" t="s">
        <v>1</v>
      </c>
      <c r="B53" s="9" t="s">
        <v>25</v>
      </c>
      <c r="C53" s="9" t="s">
        <v>26</v>
      </c>
      <c r="D53" s="9" t="s">
        <v>27</v>
      </c>
      <c r="E53" s="9"/>
    </row>
    <row r="54" spans="1:5" x14ac:dyDescent="0.35">
      <c r="A54" t="s">
        <v>5</v>
      </c>
      <c r="B54" s="9">
        <v>697000</v>
      </c>
      <c r="C54" s="9">
        <v>697000</v>
      </c>
      <c r="D54" s="9">
        <v>0</v>
      </c>
      <c r="E54" s="9"/>
    </row>
    <row r="55" spans="1:5" x14ac:dyDescent="0.35">
      <c r="A55" t="s">
        <v>32</v>
      </c>
      <c r="B55" s="9">
        <v>325072.16644598456</v>
      </c>
      <c r="C55" s="9">
        <v>325072.16644598456</v>
      </c>
      <c r="D55" s="9">
        <v>0</v>
      </c>
      <c r="E55" s="9"/>
    </row>
    <row r="56" spans="1:5" x14ac:dyDescent="0.35">
      <c r="A56" t="s">
        <v>6</v>
      </c>
      <c r="B56" s="9">
        <v>64715.027354728212</v>
      </c>
      <c r="C56" s="9">
        <v>64715.027354728212</v>
      </c>
      <c r="D56" s="9">
        <v>5.6843418860808015E-14</v>
      </c>
      <c r="E56" s="9"/>
    </row>
    <row r="57" spans="1:5" x14ac:dyDescent="0.35">
      <c r="A57" t="s">
        <v>33</v>
      </c>
      <c r="B57" s="9">
        <v>60030</v>
      </c>
      <c r="C57" s="9">
        <v>60030</v>
      </c>
      <c r="D57" s="9">
        <v>0</v>
      </c>
      <c r="E57" s="9"/>
    </row>
    <row r="58" spans="1:5" x14ac:dyDescent="0.35">
      <c r="A58" t="s">
        <v>7</v>
      </c>
      <c r="B58" s="9">
        <v>312150</v>
      </c>
      <c r="C58" s="9">
        <v>312150</v>
      </c>
      <c r="D58" s="9">
        <v>2.2737367544323206E-13</v>
      </c>
      <c r="E58" s="9"/>
    </row>
    <row r="59" spans="1:5" x14ac:dyDescent="0.35">
      <c r="B59" s="9"/>
      <c r="C59" s="9"/>
      <c r="D59" s="9"/>
      <c r="E59" s="9"/>
    </row>
    <row r="60" spans="1:5" x14ac:dyDescent="0.35">
      <c r="B60" s="9"/>
      <c r="C60" s="9"/>
      <c r="D60" s="9"/>
      <c r="E60" s="9"/>
    </row>
    <row r="61" spans="1:5" x14ac:dyDescent="0.35">
      <c r="B61" s="15"/>
      <c r="C61" s="15"/>
      <c r="D61" s="15"/>
      <c r="E6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DBBB-5495-46B1-99CC-19B9EBEB3C1E}">
  <dimension ref="A1:F60"/>
  <sheetViews>
    <sheetView zoomScale="80" workbookViewId="0">
      <selection activeCell="H23" sqref="H23"/>
    </sheetView>
  </sheetViews>
  <sheetFormatPr defaultRowHeight="12.75" x14ac:dyDescent="0.35"/>
  <cols>
    <col min="1" max="1" width="25.73046875" customWidth="1"/>
    <col min="2" max="3" width="14.46484375" bestFit="1" customWidth="1"/>
    <col min="4" max="5" width="12.3984375" bestFit="1" customWidth="1"/>
  </cols>
  <sheetData>
    <row r="1" spans="1:6" x14ac:dyDescent="0.35">
      <c r="A1" t="s">
        <v>0</v>
      </c>
    </row>
    <row r="3" spans="1:6" x14ac:dyDescent="0.35">
      <c r="A3" s="2" t="s">
        <v>28</v>
      </c>
      <c r="B3" s="2"/>
      <c r="C3" s="2"/>
      <c r="D3" s="2"/>
      <c r="E3" s="2"/>
    </row>
    <row r="4" spans="1:6" x14ac:dyDescent="0.35">
      <c r="A4" t="s">
        <v>1</v>
      </c>
      <c r="B4" s="1" t="s">
        <v>2</v>
      </c>
      <c r="C4" s="1" t="s">
        <v>3</v>
      </c>
      <c r="D4" s="1" t="s">
        <v>4</v>
      </c>
      <c r="E4" s="1" t="s">
        <v>31</v>
      </c>
      <c r="F4" s="1"/>
    </row>
    <row r="5" spans="1:6" x14ac:dyDescent="0.35">
      <c r="A5" t="s">
        <v>5</v>
      </c>
      <c r="B5" s="9">
        <v>698000</v>
      </c>
      <c r="C5" s="9">
        <v>59078296.296296299</v>
      </c>
      <c r="D5" s="9">
        <v>84.639392974636536</v>
      </c>
      <c r="E5" s="9">
        <v>1969276.5432098766</v>
      </c>
      <c r="F5" s="9"/>
    </row>
    <row r="6" spans="1:6" x14ac:dyDescent="0.35">
      <c r="A6" t="s">
        <v>32</v>
      </c>
      <c r="B6" s="9">
        <v>329197.91752470401</v>
      </c>
      <c r="C6" s="9">
        <v>28266551.248336449</v>
      </c>
      <c r="D6" s="9">
        <v>85.864915127281265</v>
      </c>
      <c r="E6" s="9">
        <v>942218.37494454836</v>
      </c>
      <c r="F6" s="9"/>
    </row>
    <row r="7" spans="1:6" x14ac:dyDescent="0.35">
      <c r="A7" t="s">
        <v>6</v>
      </c>
      <c r="B7" s="9">
        <v>62263.728840614254</v>
      </c>
      <c r="C7" s="9">
        <v>6226372.8840614259</v>
      </c>
      <c r="D7" s="9">
        <v>100.00000000000001</v>
      </c>
      <c r="E7" s="9">
        <v>207545.76280204754</v>
      </c>
      <c r="F7" s="9"/>
    </row>
    <row r="8" spans="1:6" x14ac:dyDescent="0.35">
      <c r="A8" t="s">
        <v>33</v>
      </c>
      <c r="B8" s="9">
        <v>60030</v>
      </c>
      <c r="C8" s="9">
        <v>6003000</v>
      </c>
      <c r="D8" s="9">
        <v>100</v>
      </c>
      <c r="E8" s="9">
        <v>200100</v>
      </c>
      <c r="F8" s="9"/>
    </row>
    <row r="9" spans="1:6" x14ac:dyDescent="0.35">
      <c r="A9" t="s">
        <v>7</v>
      </c>
      <c r="B9" s="9">
        <v>312350</v>
      </c>
      <c r="C9" s="9">
        <v>26750692.592592593</v>
      </c>
      <c r="D9" s="9">
        <v>85.643325092340618</v>
      </c>
      <c r="E9" s="9">
        <v>891689.75308641978</v>
      </c>
      <c r="F9" s="9"/>
    </row>
    <row r="10" spans="1:6" x14ac:dyDescent="0.35">
      <c r="A10" t="s">
        <v>8</v>
      </c>
      <c r="B10" s="9">
        <v>1461841.6463653182</v>
      </c>
      <c r="C10" s="9">
        <v>126324913.02128677</v>
      </c>
      <c r="D10" s="9"/>
      <c r="E10" s="9">
        <v>4210830.4340428924</v>
      </c>
      <c r="F10" s="9"/>
    </row>
    <row r="11" spans="1:6" x14ac:dyDescent="0.35">
      <c r="B11" s="9"/>
      <c r="C11" s="9"/>
      <c r="D11" s="9"/>
      <c r="E11" s="9"/>
      <c r="F11" s="9"/>
    </row>
    <row r="12" spans="1:6" x14ac:dyDescent="0.35">
      <c r="A12" s="3" t="s">
        <v>29</v>
      </c>
      <c r="B12" s="10"/>
      <c r="C12" s="10"/>
      <c r="D12" s="10"/>
      <c r="E12" s="10"/>
      <c r="F12" s="9"/>
    </row>
    <row r="13" spans="1:6" x14ac:dyDescent="0.35">
      <c r="A13" t="s">
        <v>1</v>
      </c>
      <c r="B13" s="9" t="s">
        <v>9</v>
      </c>
      <c r="C13" s="9" t="s">
        <v>10</v>
      </c>
      <c r="D13" s="9" t="s">
        <v>11</v>
      </c>
      <c r="E13" s="9" t="s">
        <v>34</v>
      </c>
      <c r="F13" s="9"/>
    </row>
    <row r="14" spans="1:6" x14ac:dyDescent="0.35">
      <c r="A14" t="s">
        <v>5</v>
      </c>
      <c r="B14" s="9">
        <v>58179725.925925948</v>
      </c>
      <c r="C14" s="9">
        <v>719000</v>
      </c>
      <c r="D14" s="9">
        <v>719000</v>
      </c>
      <c r="E14" s="9">
        <v>1939324.197530865</v>
      </c>
      <c r="F14" s="9"/>
    </row>
    <row r="15" spans="1:6" x14ac:dyDescent="0.35">
      <c r="A15" t="s">
        <v>32</v>
      </c>
      <c r="B15" s="9">
        <v>28827170.545015674</v>
      </c>
      <c r="C15" s="9">
        <v>339001.05216842546</v>
      </c>
      <c r="D15" s="9">
        <v>558306.78971052228</v>
      </c>
      <c r="E15" s="9">
        <v>960905.68483385583</v>
      </c>
      <c r="F15" s="9"/>
    </row>
    <row r="16" spans="1:6" x14ac:dyDescent="0.35">
      <c r="A16" t="s">
        <v>6</v>
      </c>
      <c r="B16" s="9">
        <v>7609351.6297527775</v>
      </c>
      <c r="C16" s="9">
        <v>64629.642958078475</v>
      </c>
      <c r="D16" s="9">
        <v>504955.83928061841</v>
      </c>
      <c r="E16" s="9">
        <v>253645.05432509258</v>
      </c>
      <c r="F16" s="9"/>
    </row>
    <row r="17" spans="1:6" x14ac:dyDescent="0.35">
      <c r="A17" t="s">
        <v>33</v>
      </c>
      <c r="B17" s="9">
        <v>5773578.888888889</v>
      </c>
      <c r="C17" s="9">
        <v>62100</v>
      </c>
      <c r="D17" s="9">
        <v>62100</v>
      </c>
      <c r="E17" s="9">
        <v>192452.62962962964</v>
      </c>
      <c r="F17" s="9"/>
    </row>
    <row r="18" spans="1:6" x14ac:dyDescent="0.35">
      <c r="A18" t="s">
        <v>7</v>
      </c>
      <c r="B18" s="9">
        <v>21889210.91574293</v>
      </c>
      <c r="C18" s="9">
        <v>322126.52846731298</v>
      </c>
      <c r="D18" s="9">
        <v>1120524.9934208321</v>
      </c>
      <c r="E18" s="9">
        <v>729640.3638580977</v>
      </c>
      <c r="F18" s="9"/>
    </row>
    <row r="19" spans="1:6" x14ac:dyDescent="0.35">
      <c r="A19" t="s">
        <v>12</v>
      </c>
      <c r="B19" s="9">
        <v>122279037.90532622</v>
      </c>
      <c r="C19" s="9"/>
      <c r="D19" s="9"/>
      <c r="E19" s="9">
        <v>4075967.9301775405</v>
      </c>
      <c r="F19" s="9"/>
    </row>
    <row r="20" spans="1:6" x14ac:dyDescent="0.35">
      <c r="B20" s="9"/>
      <c r="C20" s="9"/>
      <c r="D20" s="9"/>
      <c r="E20" s="9"/>
      <c r="F20" s="9"/>
    </row>
    <row r="21" spans="1:6" x14ac:dyDescent="0.35">
      <c r="A21" s="4" t="s">
        <v>13</v>
      </c>
      <c r="B21" s="11"/>
      <c r="C21" s="11"/>
      <c r="D21" s="9"/>
      <c r="E21" s="9"/>
      <c r="F21" s="9"/>
    </row>
    <row r="22" spans="1:6" x14ac:dyDescent="0.35">
      <c r="A22" t="s">
        <v>1</v>
      </c>
      <c r="B22" s="9" t="s">
        <v>35</v>
      </c>
      <c r="C22" s="9" t="s">
        <v>36</v>
      </c>
      <c r="D22" s="9"/>
      <c r="E22" s="9"/>
      <c r="F22" s="9"/>
    </row>
    <row r="23" spans="1:6" x14ac:dyDescent="0.35">
      <c r="A23" t="s">
        <v>5</v>
      </c>
      <c r="B23" s="9">
        <v>20940000</v>
      </c>
      <c r="C23" s="9">
        <v>698000</v>
      </c>
      <c r="D23" s="9"/>
      <c r="E23" s="9"/>
      <c r="F23" s="9"/>
    </row>
    <row r="24" spans="1:6" x14ac:dyDescent="0.35">
      <c r="A24" t="s">
        <v>32</v>
      </c>
      <c r="B24" s="9">
        <v>19751875.051482242</v>
      </c>
      <c r="C24" s="9">
        <v>658395.83504940802</v>
      </c>
      <c r="D24" s="9"/>
      <c r="E24" s="9"/>
      <c r="F24" s="9"/>
    </row>
    <row r="25" spans="1:6" x14ac:dyDescent="0.35">
      <c r="A25" t="s">
        <v>6</v>
      </c>
      <c r="B25" s="9">
        <v>6226372.8840614259</v>
      </c>
      <c r="C25" s="9">
        <v>207545.76280204754</v>
      </c>
      <c r="D25" s="9"/>
      <c r="E25" s="9"/>
      <c r="F25" s="9"/>
    </row>
    <row r="26" spans="1:6" x14ac:dyDescent="0.35">
      <c r="A26" t="s">
        <v>33</v>
      </c>
      <c r="B26" s="9">
        <v>0</v>
      </c>
      <c r="C26" s="9">
        <v>0</v>
      </c>
      <c r="D26" s="9"/>
      <c r="E26" s="9"/>
      <c r="F26" s="9"/>
    </row>
    <row r="27" spans="1:6" x14ac:dyDescent="0.35">
      <c r="A27" t="s">
        <v>7</v>
      </c>
      <c r="B27" s="9">
        <v>0</v>
      </c>
      <c r="C27" s="9">
        <v>0</v>
      </c>
      <c r="D27" s="9"/>
      <c r="E27" s="9"/>
      <c r="F27" s="9"/>
    </row>
    <row r="28" spans="1:6" x14ac:dyDescent="0.35">
      <c r="A28" t="s">
        <v>14</v>
      </c>
      <c r="B28" s="9">
        <v>46918247.935543671</v>
      </c>
      <c r="C28" s="9">
        <v>1563941.5978514557</v>
      </c>
      <c r="D28" s="9"/>
      <c r="E28" s="9"/>
      <c r="F28" s="9"/>
    </row>
    <row r="29" spans="1:6" x14ac:dyDescent="0.35">
      <c r="A29" t="s">
        <v>15</v>
      </c>
      <c r="B29" s="9">
        <v>201365.87096799858</v>
      </c>
      <c r="C29" s="9"/>
      <c r="D29" s="9"/>
      <c r="E29" s="9"/>
      <c r="F29" s="9"/>
    </row>
    <row r="30" spans="1:6" x14ac:dyDescent="0.35">
      <c r="B30" s="9"/>
      <c r="C30" s="9"/>
      <c r="D30" s="9"/>
      <c r="E30" s="9"/>
      <c r="F30" s="9"/>
    </row>
    <row r="31" spans="1:6" x14ac:dyDescent="0.35">
      <c r="A31" s="5" t="s">
        <v>16</v>
      </c>
      <c r="B31" s="12"/>
      <c r="C31" s="12"/>
      <c r="D31" s="9"/>
      <c r="E31" s="9"/>
      <c r="F31" s="9"/>
    </row>
    <row r="32" spans="1:6" x14ac:dyDescent="0.35">
      <c r="A32" t="s">
        <v>1</v>
      </c>
      <c r="B32" s="9" t="s">
        <v>37</v>
      </c>
      <c r="C32" s="9" t="s">
        <v>38</v>
      </c>
      <c r="D32" s="9"/>
      <c r="E32" s="9"/>
      <c r="F32" s="9"/>
    </row>
    <row r="33" spans="1:6" x14ac:dyDescent="0.35">
      <c r="A33" t="s">
        <v>5</v>
      </c>
      <c r="B33" s="9">
        <v>37239725.925925948</v>
      </c>
      <c r="C33" s="9">
        <v>1241324.197530865</v>
      </c>
      <c r="D33" s="9"/>
      <c r="E33" s="9"/>
      <c r="F33" s="9"/>
    </row>
    <row r="34" spans="1:6" x14ac:dyDescent="0.35">
      <c r="A34" t="s">
        <v>32</v>
      </c>
      <c r="B34" s="9">
        <v>9075295.4935334325</v>
      </c>
      <c r="C34" s="9">
        <v>302509.84978444775</v>
      </c>
      <c r="D34" s="9"/>
      <c r="E34" s="9"/>
      <c r="F34" s="9"/>
    </row>
    <row r="35" spans="1:6" x14ac:dyDescent="0.35">
      <c r="A35" t="s">
        <v>6</v>
      </c>
      <c r="B35" s="9">
        <v>1382978.7456913516</v>
      </c>
      <c r="C35" s="9">
        <v>46099.291523045053</v>
      </c>
      <c r="D35" s="9"/>
      <c r="E35" s="9"/>
      <c r="F35" s="9"/>
    </row>
    <row r="36" spans="1:6" x14ac:dyDescent="0.35">
      <c r="A36" t="s">
        <v>33</v>
      </c>
      <c r="B36" s="9">
        <v>5773578.888888889</v>
      </c>
      <c r="C36" s="9">
        <v>192452.62962962964</v>
      </c>
      <c r="D36" s="9"/>
      <c r="E36" s="9"/>
      <c r="F36" s="9"/>
    </row>
    <row r="37" spans="1:6" x14ac:dyDescent="0.35">
      <c r="A37" t="s">
        <v>7</v>
      </c>
      <c r="B37" s="9">
        <v>21889210.91574293</v>
      </c>
      <c r="C37" s="9">
        <v>729640.3638580977</v>
      </c>
      <c r="D37" s="9"/>
      <c r="E37" s="9"/>
      <c r="F37" s="9"/>
    </row>
    <row r="38" spans="1:6" x14ac:dyDescent="0.35">
      <c r="A38" t="s">
        <v>17</v>
      </c>
      <c r="B38" s="9">
        <v>75360789.969782546</v>
      </c>
      <c r="C38" s="9">
        <v>2512026.3323260853</v>
      </c>
      <c r="D38" s="9"/>
      <c r="E38" s="9"/>
      <c r="F38" s="9"/>
    </row>
    <row r="39" spans="1:6" x14ac:dyDescent="0.35">
      <c r="B39" s="9"/>
      <c r="C39" s="9"/>
      <c r="D39" s="9"/>
      <c r="E39" s="9"/>
      <c r="F39" s="9"/>
    </row>
    <row r="40" spans="1:6" ht="12.4" customHeight="1" x14ac:dyDescent="0.35">
      <c r="A40" s="6" t="s">
        <v>18</v>
      </c>
      <c r="B40" s="13"/>
      <c r="C40" s="9"/>
      <c r="D40" s="9"/>
      <c r="E40" s="9"/>
      <c r="F40" s="9"/>
    </row>
    <row r="41" spans="1:6" x14ac:dyDescent="0.35">
      <c r="A41" t="s">
        <v>39</v>
      </c>
      <c r="B41" s="9" t="s">
        <v>8</v>
      </c>
      <c r="C41" s="9" t="s">
        <v>40</v>
      </c>
      <c r="D41" s="9"/>
      <c r="E41" s="9"/>
      <c r="F41" s="9"/>
    </row>
    <row r="42" spans="1:6" x14ac:dyDescent="0.35">
      <c r="A42" t="s">
        <v>41</v>
      </c>
      <c r="B42" s="9">
        <v>20991.247694355105</v>
      </c>
      <c r="C42" s="9">
        <v>699.70825647850347</v>
      </c>
      <c r="D42" s="9"/>
      <c r="E42" s="9"/>
      <c r="F42" s="9"/>
    </row>
    <row r="43" spans="1:6" x14ac:dyDescent="0.35">
      <c r="A43" t="s">
        <v>42</v>
      </c>
      <c r="B43" s="9">
        <v>26486.762361596</v>
      </c>
      <c r="C43" s="9">
        <v>882.89207871986662</v>
      </c>
      <c r="D43" s="9"/>
      <c r="E43" s="9"/>
      <c r="F43" s="9"/>
    </row>
    <row r="44" spans="1:6" x14ac:dyDescent="0.35">
      <c r="A44" t="s">
        <v>19</v>
      </c>
      <c r="B44" s="9">
        <v>99.841830174651463</v>
      </c>
      <c r="C44" s="9"/>
      <c r="D44" s="9"/>
      <c r="E44" s="9"/>
      <c r="F44" s="9"/>
    </row>
    <row r="45" spans="1:6" x14ac:dyDescent="0.35">
      <c r="A45" t="s">
        <v>20</v>
      </c>
      <c r="B45" s="9">
        <v>59.688373497462834</v>
      </c>
      <c r="C45" s="9"/>
      <c r="D45" s="9"/>
      <c r="E45" s="9"/>
      <c r="F45" s="9"/>
    </row>
    <row r="46" spans="1:6" x14ac:dyDescent="0.35">
      <c r="A46" t="s">
        <v>21</v>
      </c>
      <c r="B46" s="9">
        <v>2095804.5874538464</v>
      </c>
      <c r="C46" s="9">
        <v>69860.152915128216</v>
      </c>
      <c r="D46" s="9"/>
      <c r="E46" s="9"/>
      <c r="F46" s="9"/>
    </row>
    <row r="47" spans="1:6" x14ac:dyDescent="0.35">
      <c r="A47" t="s">
        <v>22</v>
      </c>
      <c r="B47" s="9">
        <v>1580951.7645774828</v>
      </c>
      <c r="C47" s="9">
        <v>52698.392152582761</v>
      </c>
      <c r="D47" s="9"/>
      <c r="E47" s="9"/>
      <c r="F47" s="9"/>
    </row>
    <row r="48" spans="1:6" x14ac:dyDescent="0.35">
      <c r="A48" t="s">
        <v>23</v>
      </c>
      <c r="B48" s="9">
        <v>514852.82287636353</v>
      </c>
      <c r="C48" s="9">
        <v>17161.760762545451</v>
      </c>
      <c r="D48" s="9"/>
      <c r="E48" s="9"/>
      <c r="F48" s="9"/>
    </row>
    <row r="49" spans="1:6" x14ac:dyDescent="0.35">
      <c r="A49" t="s">
        <v>24</v>
      </c>
      <c r="B49" s="9">
        <v>2209.6687677097148</v>
      </c>
      <c r="C49" s="9"/>
      <c r="D49" s="9"/>
      <c r="E49" s="9"/>
      <c r="F49" s="9"/>
    </row>
    <row r="50" spans="1:6" x14ac:dyDescent="0.35">
      <c r="B50" s="9"/>
      <c r="C50" s="9"/>
      <c r="D50" s="9"/>
      <c r="E50" s="9"/>
      <c r="F50" s="9"/>
    </row>
    <row r="51" spans="1:6" x14ac:dyDescent="0.35">
      <c r="B51" s="9"/>
      <c r="C51" s="9"/>
      <c r="D51" s="9"/>
      <c r="E51" s="9"/>
      <c r="F51" s="9"/>
    </row>
    <row r="52" spans="1:6" x14ac:dyDescent="0.35">
      <c r="A52" s="7" t="s">
        <v>30</v>
      </c>
      <c r="B52" s="14"/>
      <c r="C52" s="14"/>
      <c r="D52" s="14"/>
      <c r="E52" s="9"/>
      <c r="F52" s="9"/>
    </row>
    <row r="53" spans="1:6" x14ac:dyDescent="0.35">
      <c r="A53" t="s">
        <v>1</v>
      </c>
      <c r="B53" s="9" t="s">
        <v>25</v>
      </c>
      <c r="C53" s="9" t="s">
        <v>26</v>
      </c>
      <c r="D53" s="9" t="s">
        <v>27</v>
      </c>
      <c r="E53" s="9"/>
      <c r="F53" s="9"/>
    </row>
    <row r="54" spans="1:6" x14ac:dyDescent="0.35">
      <c r="A54" t="s">
        <v>5</v>
      </c>
      <c r="B54" s="9">
        <v>698000</v>
      </c>
      <c r="C54" s="9">
        <v>698000</v>
      </c>
      <c r="D54" s="9">
        <v>0</v>
      </c>
      <c r="E54" s="9"/>
      <c r="F54" s="9"/>
    </row>
    <row r="55" spans="1:6" x14ac:dyDescent="0.35">
      <c r="A55" t="s">
        <v>32</v>
      </c>
      <c r="B55" s="9">
        <v>329197.91752470401</v>
      </c>
      <c r="C55" s="9">
        <v>329197.91752470401</v>
      </c>
      <c r="D55" s="9">
        <v>0</v>
      </c>
      <c r="E55" s="9"/>
      <c r="F55" s="9"/>
    </row>
    <row r="56" spans="1:6" x14ac:dyDescent="0.35">
      <c r="A56" t="s">
        <v>6</v>
      </c>
      <c r="B56" s="9">
        <v>62263.728840614254</v>
      </c>
      <c r="C56" s="9">
        <v>62263.728840614254</v>
      </c>
      <c r="D56" s="9">
        <v>5.6843418860808015E-14</v>
      </c>
      <c r="E56" s="9"/>
      <c r="F56" s="9"/>
    </row>
    <row r="57" spans="1:6" x14ac:dyDescent="0.35">
      <c r="A57" t="s">
        <v>33</v>
      </c>
      <c r="B57" s="9">
        <v>60030</v>
      </c>
      <c r="C57" s="9">
        <v>60030</v>
      </c>
      <c r="D57" s="9">
        <v>0</v>
      </c>
      <c r="E57" s="9"/>
      <c r="F57" s="9"/>
    </row>
    <row r="58" spans="1:6" x14ac:dyDescent="0.35">
      <c r="A58" t="s">
        <v>7</v>
      </c>
      <c r="B58" s="9">
        <v>312350</v>
      </c>
      <c r="C58" s="9">
        <v>312350</v>
      </c>
      <c r="D58" s="9">
        <v>1.1368683772161603E-13</v>
      </c>
      <c r="E58" s="9"/>
      <c r="F58" s="9"/>
    </row>
    <row r="59" spans="1:6" x14ac:dyDescent="0.35">
      <c r="B59" s="9"/>
      <c r="C59" s="9"/>
      <c r="D59" s="9"/>
      <c r="E59" s="9"/>
      <c r="F59" s="9"/>
    </row>
    <row r="60" spans="1:6" x14ac:dyDescent="0.35">
      <c r="B60" s="9"/>
      <c r="C60" s="9"/>
      <c r="D60" s="9"/>
      <c r="E60" s="9"/>
      <c r="F6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30C0-601D-4705-B3AC-32B122D4ACAF}">
  <dimension ref="A1:G58"/>
  <sheetViews>
    <sheetView tabSelected="1" zoomScale="85" zoomScaleNormal="85" workbookViewId="0">
      <selection activeCell="I16" sqref="I16"/>
    </sheetView>
  </sheetViews>
  <sheetFormatPr defaultRowHeight="12.75" x14ac:dyDescent="0.35"/>
  <cols>
    <col min="1" max="1" width="25.73046875" customWidth="1"/>
    <col min="2" max="3" width="14.46484375" bestFit="1" customWidth="1"/>
    <col min="4" max="4" width="10.86328125" bestFit="1" customWidth="1"/>
    <col min="5" max="5" width="12.3984375" bestFit="1" customWidth="1"/>
  </cols>
  <sheetData>
    <row r="1" spans="1:7" x14ac:dyDescent="0.35">
      <c r="A1" t="s">
        <v>0</v>
      </c>
    </row>
    <row r="3" spans="1:7" x14ac:dyDescent="0.35">
      <c r="A3" s="2" t="s">
        <v>28</v>
      </c>
      <c r="B3" s="2"/>
      <c r="C3" s="2"/>
      <c r="D3" s="2"/>
      <c r="E3" s="2"/>
    </row>
    <row r="4" spans="1:7" x14ac:dyDescent="0.35">
      <c r="A4" t="s">
        <v>1</v>
      </c>
      <c r="B4" t="s">
        <v>2</v>
      </c>
      <c r="C4" t="s">
        <v>3</v>
      </c>
      <c r="D4" t="s">
        <v>4</v>
      </c>
      <c r="E4" t="s">
        <v>31</v>
      </c>
      <c r="F4" s="1"/>
    </row>
    <row r="5" spans="1:7" x14ac:dyDescent="0.35">
      <c r="A5" t="s">
        <v>5</v>
      </c>
      <c r="B5" s="9">
        <v>701000</v>
      </c>
      <c r="C5" s="9">
        <v>58848000</v>
      </c>
      <c r="D5" s="9">
        <v>83.948644793152638</v>
      </c>
      <c r="E5" s="9">
        <v>1961600</v>
      </c>
      <c r="F5" s="9"/>
      <c r="G5" s="9"/>
    </row>
    <row r="6" spans="1:7" x14ac:dyDescent="0.35">
      <c r="A6" t="s">
        <v>32</v>
      </c>
      <c r="B6" s="9">
        <v>329818.04764942999</v>
      </c>
      <c r="C6" s="9">
        <v>28183082.858965803</v>
      </c>
      <c r="D6" s="9">
        <v>85.450396240663423</v>
      </c>
      <c r="E6" s="9">
        <v>939436.09529886011</v>
      </c>
      <c r="F6" s="9"/>
      <c r="G6" s="9"/>
    </row>
    <row r="7" spans="1:7" x14ac:dyDescent="0.35">
      <c r="A7" t="s">
        <v>6</v>
      </c>
      <c r="B7" s="9">
        <v>62097.88140396167</v>
      </c>
      <c r="C7" s="9">
        <v>6209788.1403961675</v>
      </c>
      <c r="D7" s="9">
        <v>100.00000000000001</v>
      </c>
      <c r="E7" s="9">
        <v>206992.9380132056</v>
      </c>
      <c r="F7" s="9"/>
      <c r="G7" s="9"/>
    </row>
    <row r="8" spans="1:7" x14ac:dyDescent="0.35">
      <c r="A8" t="s">
        <v>33</v>
      </c>
      <c r="B8" s="9">
        <v>60030</v>
      </c>
      <c r="C8" s="9">
        <v>6003000</v>
      </c>
      <c r="D8" s="9">
        <v>100</v>
      </c>
      <c r="E8" s="9">
        <v>200100</v>
      </c>
      <c r="F8" s="9"/>
      <c r="G8" s="9"/>
    </row>
    <row r="9" spans="1:7" x14ac:dyDescent="0.35">
      <c r="A9" t="s">
        <v>7</v>
      </c>
      <c r="B9" s="9">
        <v>313250</v>
      </c>
      <c r="C9" s="9">
        <v>26572050</v>
      </c>
      <c r="D9" s="9">
        <v>84.826975259377491</v>
      </c>
      <c r="E9" s="9">
        <v>885735</v>
      </c>
      <c r="F9" s="9"/>
      <c r="G9" s="9"/>
    </row>
    <row r="10" spans="1:7" x14ac:dyDescent="0.35">
      <c r="A10" t="s">
        <v>8</v>
      </c>
      <c r="B10" s="9">
        <v>1466195.9290533918</v>
      </c>
      <c r="C10" s="9">
        <v>125815920.99936196</v>
      </c>
      <c r="D10" s="9"/>
      <c r="E10" s="9">
        <v>4193864.0333120655</v>
      </c>
      <c r="F10" s="9"/>
      <c r="G10" s="9"/>
    </row>
    <row r="11" spans="1:7" x14ac:dyDescent="0.35">
      <c r="B11" s="9"/>
      <c r="C11" s="9"/>
      <c r="D11" s="9"/>
      <c r="E11" s="9"/>
      <c r="F11" s="9"/>
      <c r="G11" s="9"/>
    </row>
    <row r="12" spans="1:7" x14ac:dyDescent="0.35">
      <c r="A12" s="3" t="s">
        <v>29</v>
      </c>
      <c r="B12" s="10"/>
      <c r="C12" s="10"/>
      <c r="D12" s="10"/>
      <c r="E12" s="10"/>
      <c r="F12" s="9"/>
      <c r="G12" s="9"/>
    </row>
    <row r="13" spans="1:7" x14ac:dyDescent="0.35">
      <c r="A13" t="s">
        <v>1</v>
      </c>
      <c r="B13" s="9" t="s">
        <v>9</v>
      </c>
      <c r="C13" s="9" t="s">
        <v>10</v>
      </c>
      <c r="D13" s="9" t="s">
        <v>11</v>
      </c>
      <c r="E13" s="9" t="s">
        <v>34</v>
      </c>
      <c r="F13" s="9"/>
      <c r="G13" s="9"/>
    </row>
    <row r="14" spans="1:7" x14ac:dyDescent="0.35">
      <c r="A14" t="s">
        <v>5</v>
      </c>
      <c r="B14" s="9">
        <v>59566692.592592597</v>
      </c>
      <c r="C14" s="9">
        <v>719000</v>
      </c>
      <c r="D14" s="9">
        <v>719000</v>
      </c>
      <c r="E14" s="9">
        <v>1985556.4197530865</v>
      </c>
      <c r="F14" s="9"/>
      <c r="G14" s="9"/>
    </row>
    <row r="15" spans="1:7" x14ac:dyDescent="0.35">
      <c r="A15" t="s">
        <v>32</v>
      </c>
      <c r="B15" s="9">
        <v>29048112.186028261</v>
      </c>
      <c r="C15" s="9">
        <v>338443.04477862042</v>
      </c>
      <c r="D15" s="9">
        <v>413806.61739383062</v>
      </c>
      <c r="E15" s="9">
        <v>968270.406200942</v>
      </c>
      <c r="F15" s="9"/>
      <c r="G15" s="9"/>
    </row>
    <row r="16" spans="1:7" x14ac:dyDescent="0.35">
      <c r="A16" t="s">
        <v>6</v>
      </c>
      <c r="B16" s="9">
        <v>6971152.0002288604</v>
      </c>
      <c r="C16" s="9">
        <v>65167.545174255618</v>
      </c>
      <c r="D16" s="9">
        <v>253295.17980803773</v>
      </c>
      <c r="E16" s="9">
        <v>232371.733340962</v>
      </c>
      <c r="F16" s="9"/>
      <c r="G16" s="9"/>
    </row>
    <row r="17" spans="1:7" x14ac:dyDescent="0.35">
      <c r="A17" t="s">
        <v>33</v>
      </c>
      <c r="B17" s="9">
        <v>5926230</v>
      </c>
      <c r="C17" s="9">
        <v>62100</v>
      </c>
      <c r="D17" s="9">
        <v>62100</v>
      </c>
      <c r="E17" s="9">
        <v>197541</v>
      </c>
      <c r="F17" s="9"/>
      <c r="G17" s="9"/>
    </row>
    <row r="18" spans="1:7" x14ac:dyDescent="0.35">
      <c r="A18" t="s">
        <v>7</v>
      </c>
      <c r="B18" s="9">
        <v>25117790.53361002</v>
      </c>
      <c r="C18" s="9">
        <v>321282.43910051568</v>
      </c>
      <c r="D18" s="9">
        <v>656557.70505841915</v>
      </c>
      <c r="E18" s="9">
        <v>837259.68445366737</v>
      </c>
      <c r="F18" s="9"/>
      <c r="G18" s="9"/>
    </row>
    <row r="19" spans="1:7" x14ac:dyDescent="0.35">
      <c r="A19" t="s">
        <v>12</v>
      </c>
      <c r="B19" s="9">
        <v>126629977.31245974</v>
      </c>
      <c r="C19" s="9"/>
      <c r="D19" s="9"/>
      <c r="E19" s="9">
        <v>4220999.2437486583</v>
      </c>
      <c r="F19" s="9"/>
      <c r="G19" s="9"/>
    </row>
    <row r="20" spans="1:7" x14ac:dyDescent="0.35">
      <c r="B20" s="9"/>
      <c r="C20" s="9"/>
      <c r="D20" s="9"/>
      <c r="E20" s="9"/>
      <c r="F20" s="9"/>
      <c r="G20" s="9"/>
    </row>
    <row r="21" spans="1:7" x14ac:dyDescent="0.35">
      <c r="A21" s="4" t="s">
        <v>13</v>
      </c>
      <c r="B21" s="11"/>
      <c r="C21" s="11"/>
      <c r="D21" s="9"/>
      <c r="E21" s="9"/>
      <c r="F21" s="9"/>
      <c r="G21" s="9"/>
    </row>
    <row r="22" spans="1:7" x14ac:dyDescent="0.35">
      <c r="A22" t="s">
        <v>1</v>
      </c>
      <c r="B22" s="9" t="s">
        <v>35</v>
      </c>
      <c r="C22" s="9" t="s">
        <v>36</v>
      </c>
      <c r="D22" s="9"/>
      <c r="E22" s="9"/>
      <c r="F22" s="9"/>
      <c r="G22" s="9"/>
    </row>
    <row r="23" spans="1:7" x14ac:dyDescent="0.35">
      <c r="A23" t="s">
        <v>5</v>
      </c>
      <c r="B23" s="9">
        <v>21030000</v>
      </c>
      <c r="C23" s="9">
        <v>701000</v>
      </c>
      <c r="D23" s="9"/>
      <c r="E23" s="9"/>
      <c r="F23" s="9"/>
      <c r="G23" s="9"/>
    </row>
    <row r="24" spans="1:7" x14ac:dyDescent="0.35">
      <c r="A24" t="s">
        <v>32</v>
      </c>
      <c r="B24" s="9">
        <v>19789082.858965799</v>
      </c>
      <c r="C24" s="9">
        <v>659636.09529885999</v>
      </c>
      <c r="D24" s="9"/>
      <c r="E24" s="9"/>
      <c r="F24" s="9"/>
      <c r="G24" s="9"/>
    </row>
    <row r="25" spans="1:7" x14ac:dyDescent="0.35">
      <c r="A25" t="s">
        <v>6</v>
      </c>
      <c r="B25" s="9">
        <v>6209788.1403961675</v>
      </c>
      <c r="C25" s="9">
        <v>206992.9380132056</v>
      </c>
      <c r="D25" s="9"/>
      <c r="E25" s="9"/>
      <c r="F25" s="9"/>
      <c r="G25" s="9"/>
    </row>
    <row r="26" spans="1:7" x14ac:dyDescent="0.35">
      <c r="A26" t="s">
        <v>33</v>
      </c>
      <c r="B26" s="9">
        <v>0</v>
      </c>
      <c r="C26" s="9">
        <v>0</v>
      </c>
      <c r="D26" s="9"/>
      <c r="E26" s="9"/>
      <c r="F26" s="9"/>
      <c r="G26" s="9"/>
    </row>
    <row r="27" spans="1:7" x14ac:dyDescent="0.35">
      <c r="A27" t="s">
        <v>7</v>
      </c>
      <c r="B27" s="9">
        <v>0</v>
      </c>
      <c r="C27" s="9">
        <v>0</v>
      </c>
      <c r="D27" s="9"/>
      <c r="E27" s="9"/>
      <c r="F27" s="9"/>
      <c r="G27" s="9"/>
    </row>
    <row r="28" spans="1:7" x14ac:dyDescent="0.35">
      <c r="A28" t="s">
        <v>14</v>
      </c>
      <c r="B28" s="9">
        <v>47028870.99936197</v>
      </c>
      <c r="C28" s="9">
        <v>1567629.0333120658</v>
      </c>
      <c r="D28" s="9"/>
      <c r="E28" s="9"/>
      <c r="F28" s="9"/>
      <c r="G28" s="9"/>
    </row>
    <row r="29" spans="1:7" x14ac:dyDescent="0.35">
      <c r="A29" t="s">
        <v>15</v>
      </c>
      <c r="B29" s="9">
        <v>401956.16238770913</v>
      </c>
      <c r="C29" s="9"/>
      <c r="D29" s="9"/>
      <c r="E29" s="9"/>
      <c r="F29" s="9"/>
      <c r="G29" s="9"/>
    </row>
    <row r="30" spans="1:7" x14ac:dyDescent="0.35">
      <c r="B30" s="9"/>
      <c r="C30" s="9"/>
      <c r="D30" s="9"/>
      <c r="E30" s="9"/>
      <c r="F30" s="9"/>
      <c r="G30" s="9"/>
    </row>
    <row r="31" spans="1:7" x14ac:dyDescent="0.35">
      <c r="A31" s="5" t="s">
        <v>16</v>
      </c>
      <c r="B31" s="12"/>
      <c r="C31" s="12"/>
      <c r="D31" s="9"/>
      <c r="E31" s="9"/>
      <c r="F31" s="9"/>
      <c r="G31" s="9"/>
    </row>
    <row r="32" spans="1:7" x14ac:dyDescent="0.35">
      <c r="A32" t="s">
        <v>1</v>
      </c>
      <c r="B32" s="9" t="s">
        <v>37</v>
      </c>
      <c r="C32" s="9" t="s">
        <v>38</v>
      </c>
      <c r="D32" s="9"/>
      <c r="E32" s="9"/>
      <c r="F32" s="9"/>
      <c r="G32" s="9"/>
    </row>
    <row r="33" spans="1:7" x14ac:dyDescent="0.35">
      <c r="A33" t="s">
        <v>5</v>
      </c>
      <c r="B33" s="9">
        <v>38536692.592592597</v>
      </c>
      <c r="C33" s="9">
        <v>1284556.4197530865</v>
      </c>
      <c r="D33" s="9"/>
      <c r="E33" s="9"/>
      <c r="F33" s="9"/>
      <c r="G33" s="9"/>
    </row>
    <row r="34" spans="1:7" x14ac:dyDescent="0.35">
      <c r="A34" t="s">
        <v>32</v>
      </c>
      <c r="B34" s="9">
        <v>9259029.3270624615</v>
      </c>
      <c r="C34" s="9">
        <v>308634.31090208207</v>
      </c>
      <c r="D34" s="9"/>
      <c r="E34" s="9"/>
      <c r="F34" s="9"/>
      <c r="G34" s="9"/>
    </row>
    <row r="35" spans="1:7" x14ac:dyDescent="0.35">
      <c r="A35" t="s">
        <v>6</v>
      </c>
      <c r="B35" s="9">
        <v>761363.85983269289</v>
      </c>
      <c r="C35" s="9">
        <v>25378.79532775643</v>
      </c>
      <c r="D35" s="9"/>
      <c r="E35" s="9"/>
      <c r="F35" s="9"/>
      <c r="G35" s="9"/>
    </row>
    <row r="36" spans="1:7" x14ac:dyDescent="0.35">
      <c r="A36" t="s">
        <v>33</v>
      </c>
      <c r="B36" s="9">
        <v>5926230</v>
      </c>
      <c r="C36" s="9">
        <v>197541</v>
      </c>
      <c r="D36" s="9"/>
      <c r="E36" s="9"/>
      <c r="F36" s="9"/>
      <c r="G36" s="9"/>
    </row>
    <row r="37" spans="1:7" x14ac:dyDescent="0.35">
      <c r="A37" t="s">
        <v>7</v>
      </c>
      <c r="B37" s="9">
        <v>25117790.53361002</v>
      </c>
      <c r="C37" s="9">
        <v>837259.68445366737</v>
      </c>
      <c r="D37" s="9"/>
      <c r="E37" s="9"/>
      <c r="F37" s="9"/>
      <c r="G37" s="9"/>
    </row>
    <row r="38" spans="1:7" x14ac:dyDescent="0.35">
      <c r="A38" t="s">
        <v>17</v>
      </c>
      <c r="B38" s="9">
        <v>79601106.31309776</v>
      </c>
      <c r="C38" s="9">
        <v>2653370.2104365923</v>
      </c>
      <c r="D38" s="9"/>
      <c r="E38" s="9"/>
      <c r="F38" s="9"/>
      <c r="G38" s="9"/>
    </row>
    <row r="39" spans="1:7" x14ac:dyDescent="0.35">
      <c r="B39" s="9"/>
      <c r="C39" s="9"/>
      <c r="D39" s="9"/>
      <c r="E39" s="9"/>
      <c r="F39" s="9"/>
      <c r="G39" s="9"/>
    </row>
    <row r="40" spans="1:7" ht="12.4" customHeight="1" x14ac:dyDescent="0.35">
      <c r="A40" s="6" t="s">
        <v>18</v>
      </c>
      <c r="B40" s="13"/>
      <c r="C40" s="9"/>
      <c r="D40" s="9"/>
      <c r="E40" s="9"/>
      <c r="F40" s="9"/>
      <c r="G40" s="9"/>
    </row>
    <row r="41" spans="1:7" x14ac:dyDescent="0.35">
      <c r="A41" t="s">
        <v>39</v>
      </c>
      <c r="B41" s="9" t="s">
        <v>8</v>
      </c>
      <c r="C41" s="9" t="s">
        <v>40</v>
      </c>
      <c r="D41" s="9"/>
      <c r="E41" s="9"/>
      <c r="F41" s="9"/>
      <c r="G41" s="9"/>
    </row>
    <row r="42" spans="1:7" x14ac:dyDescent="0.35">
      <c r="A42" t="s">
        <v>41</v>
      </c>
      <c r="B42" s="9">
        <v>19972.118596038323</v>
      </c>
      <c r="C42" s="9">
        <v>665.7372865346108</v>
      </c>
      <c r="D42" s="9"/>
      <c r="E42" s="9"/>
      <c r="F42" s="9"/>
      <c r="G42" s="9"/>
    </row>
    <row r="43" spans="1:7" x14ac:dyDescent="0.35">
      <c r="A43" t="s">
        <v>42</v>
      </c>
      <c r="B43" s="9">
        <v>25368.047649430042</v>
      </c>
      <c r="C43" s="9">
        <v>845.60158831433478</v>
      </c>
      <c r="D43" s="9"/>
      <c r="E43" s="9"/>
      <c r="F43" s="9"/>
      <c r="G43" s="9"/>
    </row>
    <row r="44" spans="1:7" x14ac:dyDescent="0.35">
      <c r="A44" t="s">
        <v>19</v>
      </c>
      <c r="B44" s="9">
        <v>100.00000000000003</v>
      </c>
      <c r="C44" s="9"/>
      <c r="D44" s="9"/>
      <c r="E44" s="9"/>
      <c r="F44" s="9"/>
      <c r="G44" s="9"/>
    </row>
    <row r="45" spans="1:7" x14ac:dyDescent="0.35">
      <c r="A45" t="s">
        <v>20</v>
      </c>
      <c r="B45" s="9">
        <v>60.289734555121164</v>
      </c>
      <c r="C45" s="9"/>
      <c r="D45" s="9"/>
      <c r="E45" s="9"/>
      <c r="F45" s="9"/>
      <c r="G45" s="9"/>
    </row>
    <row r="46" spans="1:7" x14ac:dyDescent="0.35">
      <c r="A46" t="s">
        <v>21</v>
      </c>
      <c r="B46" s="9">
        <v>1997211.8596038329</v>
      </c>
      <c r="C46" s="9">
        <v>66573.728653461105</v>
      </c>
      <c r="D46" s="9"/>
      <c r="E46" s="9"/>
      <c r="F46" s="9"/>
      <c r="G46" s="9"/>
    </row>
    <row r="47" spans="1:7" x14ac:dyDescent="0.35">
      <c r="A47" t="s">
        <v>22</v>
      </c>
      <c r="B47" s="9">
        <v>1529432.8589658027</v>
      </c>
      <c r="C47" s="9">
        <v>50981.095298860091</v>
      </c>
      <c r="D47" s="9"/>
      <c r="E47" s="9"/>
      <c r="F47" s="9"/>
      <c r="G47" s="9"/>
    </row>
    <row r="48" spans="1:7" x14ac:dyDescent="0.35">
      <c r="A48" t="s">
        <v>23</v>
      </c>
      <c r="B48" s="9">
        <v>467779.00063803024</v>
      </c>
      <c r="C48" s="9">
        <v>15592.633354601008</v>
      </c>
      <c r="D48" s="9"/>
      <c r="E48" s="9"/>
      <c r="F48" s="9"/>
      <c r="G48" s="9"/>
    </row>
    <row r="49" spans="1:7" x14ac:dyDescent="0.35">
      <c r="A49" t="s">
        <v>24</v>
      </c>
      <c r="B49" s="9">
        <v>3998.1111165643611</v>
      </c>
      <c r="C49" s="9"/>
      <c r="D49" s="9"/>
      <c r="E49" s="9"/>
      <c r="F49" s="9"/>
      <c r="G49" s="9"/>
    </row>
    <row r="50" spans="1:7" x14ac:dyDescent="0.35">
      <c r="B50" s="9"/>
      <c r="C50" s="9"/>
      <c r="D50" s="9"/>
      <c r="E50" s="9"/>
      <c r="F50" s="9"/>
      <c r="G50" s="9"/>
    </row>
    <row r="51" spans="1:7" x14ac:dyDescent="0.35">
      <c r="B51" s="9"/>
      <c r="C51" s="9"/>
      <c r="D51" s="9"/>
      <c r="E51" s="9"/>
      <c r="F51" s="9"/>
      <c r="G51" s="9"/>
    </row>
    <row r="52" spans="1:7" x14ac:dyDescent="0.35">
      <c r="A52" s="7" t="s">
        <v>30</v>
      </c>
      <c r="B52" s="14"/>
      <c r="C52" s="14"/>
      <c r="D52" s="14"/>
      <c r="E52" s="9"/>
      <c r="F52" s="9"/>
      <c r="G52" s="9"/>
    </row>
    <row r="53" spans="1:7" x14ac:dyDescent="0.35">
      <c r="A53" t="s">
        <v>1</v>
      </c>
      <c r="B53" s="9" t="s">
        <v>25</v>
      </c>
      <c r="C53" s="9" t="s">
        <v>26</v>
      </c>
      <c r="D53" s="9" t="s">
        <v>27</v>
      </c>
      <c r="E53" s="9"/>
      <c r="F53" s="9"/>
      <c r="G53" s="9"/>
    </row>
    <row r="54" spans="1:7" x14ac:dyDescent="0.35">
      <c r="A54" t="s">
        <v>5</v>
      </c>
      <c r="B54" s="9">
        <v>701000</v>
      </c>
      <c r="C54" s="9">
        <v>701000</v>
      </c>
      <c r="D54" s="9">
        <v>0</v>
      </c>
      <c r="E54" s="9"/>
      <c r="F54" s="9"/>
      <c r="G54" s="9"/>
    </row>
    <row r="55" spans="1:7" x14ac:dyDescent="0.35">
      <c r="A55" t="s">
        <v>32</v>
      </c>
      <c r="B55" s="9">
        <v>329818.04764942999</v>
      </c>
      <c r="C55" s="9">
        <v>329818.04764942999</v>
      </c>
      <c r="D55" s="9">
        <v>0</v>
      </c>
      <c r="E55" s="9"/>
      <c r="F55" s="9"/>
      <c r="G55" s="9"/>
    </row>
    <row r="56" spans="1:7" x14ac:dyDescent="0.35">
      <c r="A56" t="s">
        <v>6</v>
      </c>
      <c r="B56" s="9">
        <v>62097.88140396167</v>
      </c>
      <c r="C56" s="9">
        <v>62097.88140396167</v>
      </c>
      <c r="D56" s="9">
        <v>0</v>
      </c>
      <c r="E56" s="9"/>
      <c r="F56" s="9"/>
      <c r="G56" s="9"/>
    </row>
    <row r="57" spans="1:7" x14ac:dyDescent="0.35">
      <c r="A57" t="s">
        <v>33</v>
      </c>
      <c r="B57" s="9">
        <v>60030</v>
      </c>
      <c r="C57" s="9">
        <v>60030</v>
      </c>
      <c r="D57" s="9">
        <v>0</v>
      </c>
      <c r="E57" s="9"/>
      <c r="F57" s="9"/>
      <c r="G57" s="9"/>
    </row>
    <row r="58" spans="1:7" x14ac:dyDescent="0.35">
      <c r="A58" t="s">
        <v>7</v>
      </c>
      <c r="B58" s="9">
        <v>313250</v>
      </c>
      <c r="C58" s="9">
        <v>313250</v>
      </c>
      <c r="D58" s="9">
        <v>1.1368683772161603E-13</v>
      </c>
      <c r="E58" s="9"/>
      <c r="F58" s="9"/>
      <c r="G5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4AAD-BFA3-45E4-8DCE-8C7BF796E691}">
  <dimension ref="A1:F10"/>
  <sheetViews>
    <sheetView zoomScale="132" workbookViewId="0">
      <selection activeCell="B3" sqref="B3:D10"/>
    </sheetView>
  </sheetViews>
  <sheetFormatPr defaultRowHeight="12.75" x14ac:dyDescent="0.35"/>
  <cols>
    <col min="1" max="1" width="23.265625" customWidth="1"/>
    <col min="2" max="4" width="12.3984375" bestFit="1" customWidth="1"/>
  </cols>
  <sheetData>
    <row r="1" spans="1:6" x14ac:dyDescent="0.35">
      <c r="B1" s="17" t="s">
        <v>47</v>
      </c>
      <c r="C1" s="17"/>
      <c r="D1" s="17"/>
      <c r="E1" s="17" t="s">
        <v>46</v>
      </c>
      <c r="F1" s="17"/>
    </row>
    <row r="2" spans="1:6" x14ac:dyDescent="0.35">
      <c r="B2">
        <v>1</v>
      </c>
      <c r="C2">
        <v>3</v>
      </c>
      <c r="D2">
        <v>6</v>
      </c>
      <c r="E2" t="s">
        <v>48</v>
      </c>
      <c r="F2" t="s">
        <v>49</v>
      </c>
    </row>
    <row r="3" spans="1:6" x14ac:dyDescent="0.35">
      <c r="A3" t="s">
        <v>43</v>
      </c>
      <c r="B3" s="9">
        <f>'clear_freq=1'!C28</f>
        <v>1562861.0907410632</v>
      </c>
      <c r="C3" s="9">
        <f>'clear_freq=3'!C28</f>
        <v>1563941.5978514557</v>
      </c>
      <c r="D3" s="9">
        <f>'clear_freq=6'!C28</f>
        <v>1567629.0333120658</v>
      </c>
      <c r="E3" s="19">
        <f>(C3-B3)/B3</f>
        <v>6.9136477758243819E-4</v>
      </c>
      <c r="F3" s="19">
        <f>(D3-B3)/B3</f>
        <v>3.0507782164707325E-3</v>
      </c>
    </row>
    <row r="4" spans="1:6" x14ac:dyDescent="0.35">
      <c r="A4" t="s">
        <v>45</v>
      </c>
      <c r="B4" s="9">
        <f>'clear_freq=1'!C48</f>
        <v>10165.450124392704</v>
      </c>
      <c r="C4" s="9">
        <f>'clear_freq=3'!C48</f>
        <v>17161.760762545451</v>
      </c>
      <c r="D4" s="9">
        <f>'clear_freq=6'!C48</f>
        <v>15592.633354601008</v>
      </c>
      <c r="E4" s="18">
        <f>(C4-B4)/B4</f>
        <v>0.68824405732556915</v>
      </c>
      <c r="F4" s="20">
        <f>(D4-B4)/B4</f>
        <v>0.5338851859776873</v>
      </c>
    </row>
    <row r="5" spans="1:6" x14ac:dyDescent="0.35">
      <c r="A5" t="s">
        <v>44</v>
      </c>
      <c r="B5" s="9"/>
      <c r="C5" s="9"/>
      <c r="D5" s="9"/>
      <c r="E5" s="18"/>
      <c r="F5" s="19"/>
    </row>
    <row r="6" spans="1:6" x14ac:dyDescent="0.35">
      <c r="A6" s="8" t="s">
        <v>5</v>
      </c>
      <c r="B6" s="9">
        <f>'clear_freq=1'!D14</f>
        <v>720000</v>
      </c>
      <c r="C6" s="9">
        <v>720000</v>
      </c>
      <c r="D6" s="9">
        <v>720000</v>
      </c>
      <c r="E6" s="18">
        <f>(C6-B6)/B6</f>
        <v>0</v>
      </c>
      <c r="F6" s="20">
        <f>(D6-B6)/B6</f>
        <v>0</v>
      </c>
    </row>
    <row r="7" spans="1:6" x14ac:dyDescent="0.35">
      <c r="A7" s="8" t="s">
        <v>32</v>
      </c>
      <c r="B7" s="9">
        <f>'clear_freq=1'!D15</f>
        <v>1093991.0760498121</v>
      </c>
      <c r="C7" s="9">
        <f>'clear_freq=3'!D15</f>
        <v>558306.78971052228</v>
      </c>
      <c r="D7" s="9">
        <f>'clear_freq=6'!D15</f>
        <v>413806.61739383062</v>
      </c>
      <c r="E7" s="18">
        <f t="shared" ref="E5:F10" si="0">(C7-B7)/B7</f>
        <v>-0.48966056311312983</v>
      </c>
      <c r="F7" s="20">
        <f>(D7-B7)/B7</f>
        <v>-0.62174589313104334</v>
      </c>
    </row>
    <row r="8" spans="1:6" x14ac:dyDescent="0.35">
      <c r="A8" s="8" t="s">
        <v>6</v>
      </c>
      <c r="B8" s="9">
        <f>'clear_freq=1'!D16</f>
        <v>1501739.340477908</v>
      </c>
      <c r="C8" s="9">
        <f>'clear_freq=3'!D16</f>
        <v>504955.83928061841</v>
      </c>
      <c r="D8" s="9">
        <f>'clear_freq=6'!D16</f>
        <v>253295.17980803773</v>
      </c>
      <c r="E8" s="18">
        <f t="shared" si="0"/>
        <v>-0.66375267287069739</v>
      </c>
      <c r="F8" s="20">
        <f t="shared" ref="F4:F10" si="1">(D8-B8)/B8</f>
        <v>-0.83133212736677053</v>
      </c>
    </row>
    <row r="9" spans="1:6" x14ac:dyDescent="0.35">
      <c r="A9" s="8" t="s">
        <v>33</v>
      </c>
      <c r="B9" s="9">
        <f>'clear_freq=1'!D17</f>
        <v>62100</v>
      </c>
      <c r="C9" s="9">
        <f>'clear_freq=3'!D17</f>
        <v>62100</v>
      </c>
      <c r="D9" s="9">
        <f>'clear_freq=6'!D17</f>
        <v>62100</v>
      </c>
      <c r="E9" s="18">
        <f t="shared" si="0"/>
        <v>0</v>
      </c>
      <c r="F9" s="20">
        <f t="shared" si="1"/>
        <v>0</v>
      </c>
    </row>
    <row r="10" spans="1:6" x14ac:dyDescent="0.35">
      <c r="A10" s="8" t="s">
        <v>7</v>
      </c>
      <c r="B10" s="9">
        <f>'clear_freq=1'!D18</f>
        <v>2833463.9949788712</v>
      </c>
      <c r="C10" s="9">
        <f>'clear_freq=3'!D18</f>
        <v>1120524.9934208321</v>
      </c>
      <c r="D10" s="9">
        <f>'clear_freq=6'!D18</f>
        <v>656557.70505841915</v>
      </c>
      <c r="E10" s="18">
        <f t="shared" si="0"/>
        <v>-0.60453882759530608</v>
      </c>
      <c r="F10" s="20">
        <f t="shared" si="1"/>
        <v>-0.7682844369217704</v>
      </c>
    </row>
  </sheetData>
  <mergeCells count="2">
    <mergeCell ref="B1:D1"/>
    <mergeCell ref="E1:F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clear_freq=1</vt:lpstr>
      <vt:lpstr>clear_freq=3</vt:lpstr>
      <vt:lpstr>clear_freq=6</vt:lpstr>
      <vt:lpstr>Comparison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Linuesa-Domenech, Laura</dc:creator>
  <cp:lastModifiedBy>Linuesa-Domenech, Laura</cp:lastModifiedBy>
  <dcterms:created xsi:type="dcterms:W3CDTF">2026-01-27T15:50:57Z</dcterms:created>
  <dcterms:modified xsi:type="dcterms:W3CDTF">2026-02-12T01:59:12Z</dcterms:modified>
</cp:coreProperties>
</file>