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Thesis/Code/"/>
    </mc:Choice>
  </mc:AlternateContent>
  <xr:revisionPtr revIDLastSave="502" documentId="8_{BA558C3F-E59C-4F04-9D2E-8441DAA40C29}" xr6:coauthVersionLast="47" xr6:coauthVersionMax="47" xr10:uidLastSave="{782346EC-A62A-4D23-8F2C-E66460560EEB}"/>
  <bookViews>
    <workbookView xWindow="-98" yWindow="-98" windowWidth="19396" windowHeight="11475" activeTab="2" xr2:uid="{4AE1EDD8-8ACF-4AF9-86A6-B0088C54F040}"/>
  </bookViews>
  <sheets>
    <sheet name="Rolling" sheetId="1" r:id="rId1"/>
    <sheet name="Fixed" sheetId="8" r:id="rId2"/>
    <sheet name="Comparis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C8" i="7"/>
  <c r="C9" i="7"/>
  <c r="C10" i="7"/>
  <c r="C6" i="7"/>
  <c r="B7" i="7"/>
  <c r="B8" i="7"/>
  <c r="B9" i="7"/>
  <c r="B10" i="7"/>
  <c r="B6" i="7"/>
  <c r="D4" i="7"/>
  <c r="C4" i="7"/>
  <c r="B4" i="7"/>
  <c r="C3" i="7"/>
  <c r="C2" i="7"/>
  <c r="B2" i="7"/>
  <c r="B3" i="7"/>
  <c r="D9" i="7" l="1"/>
  <c r="D7" i="7"/>
  <c r="D6" i="7"/>
  <c r="D3" i="7"/>
  <c r="D2" i="7"/>
  <c r="D10" i="7"/>
  <c r="D8" i="7"/>
</calcChain>
</file>

<file path=xl/sharedStrings.xml><?xml version="1.0" encoding="utf-8"?>
<sst xmlns="http://schemas.openxmlformats.org/spreadsheetml/2006/main" count="164" uniqueCount="57">
  <si>
    <t>ECONOMIC SUMMARY</t>
  </si>
  <si>
    <t>Generator</t>
  </si>
  <si>
    <t>Energy (MWh)</t>
  </si>
  <si>
    <t>Revenue (EUR)</t>
  </si>
  <si>
    <t>Avg Price</t>
  </si>
  <si>
    <t>Base</t>
  </si>
  <si>
    <t>Peak</t>
  </si>
  <si>
    <t>Wind</t>
  </si>
  <si>
    <t>Total</t>
  </si>
  <si>
    <t>Net Revenue</t>
  </si>
  <si>
    <t>Net Traded</t>
  </si>
  <si>
    <t>Gross Traded</t>
  </si>
  <si>
    <t>Total Net Revenue</t>
  </si>
  <si>
    <t>GENERATOR COSTS (Production Costs)</t>
  </si>
  <si>
    <t>Total System Cost</t>
  </si>
  <si>
    <t>Average per Clearing</t>
  </si>
  <si>
    <t>GENERATOR PROFITS (Full Revenue - Cost)</t>
  </si>
  <si>
    <t>Total Generator Profit</t>
  </si>
  <si>
    <t>STORAGE REVENUE</t>
  </si>
  <si>
    <t>Avg Discharge Price (EUR/MWh)</t>
  </si>
  <si>
    <t>Avg Charging Price (EUR/MWh)</t>
  </si>
  <si>
    <t>Discharge Revenue (EUR)</t>
  </si>
  <si>
    <t>Charging Cost (EUR)</t>
  </si>
  <si>
    <t>Net Storage Revenue (EUR)</t>
  </si>
  <si>
    <t>Average per Clearing (EUR)</t>
  </si>
  <si>
    <t>Σ net trades</t>
  </si>
  <si>
    <t>Σ executed</t>
  </si>
  <si>
    <t>Max |Δ| per hour</t>
  </si>
  <si>
    <t>PRODUCER REVENUES (Executed-only)</t>
  </si>
  <si>
    <t>TOTAL FINANCIAL REVENUE (Incl. financial repositions → sum(q*price))</t>
  </si>
  <si>
    <t>DELIVERY-HOUR CHECK (sum all q for that hour vs g_planned[g,1])</t>
  </si>
  <si>
    <t>Revenue/Day (EUR)</t>
  </si>
  <si>
    <t>Mid</t>
  </si>
  <si>
    <t>Solar</t>
  </si>
  <si>
    <t>Revenue/Day</t>
  </si>
  <si>
    <t>Total Cost (EUR)</t>
  </si>
  <si>
    <t>Cost/Day (EUR)</t>
  </si>
  <si>
    <t>Total Profit (EUR)</t>
  </si>
  <si>
    <t>Profit/Day (EUR)</t>
  </si>
  <si>
    <t>Metric</t>
  </si>
  <si>
    <t>Per Day</t>
  </si>
  <si>
    <t>Energy Discharged (MWh)</t>
  </si>
  <si>
    <t>Energy Charged (MWh)</t>
  </si>
  <si>
    <t>Total system costs per day</t>
  </si>
  <si>
    <t>Net storage revenue/day</t>
  </si>
  <si>
    <t>Changes</t>
  </si>
  <si>
    <t>SOCIAL WELFARE</t>
  </si>
  <si>
    <t>Total (EUR)</t>
  </si>
  <si>
    <t>Per Day (EUR)</t>
  </si>
  <si>
    <t>Total Demand Value</t>
  </si>
  <si>
    <t>Total Generation Cost</t>
  </si>
  <si>
    <t>Social Welfare</t>
  </si>
  <si>
    <t xml:space="preserve"> </t>
  </si>
  <si>
    <t>Rolling</t>
  </si>
  <si>
    <t>Fixed</t>
  </si>
  <si>
    <t>Social welfare per day</t>
  </si>
  <si>
    <t>Net revenue/day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</si>
</sst>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164" fontId="0" fillId="0" borderId="0" xfId="1" applyNumberFormat="1" applyFont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7" borderId="0" xfId="1" applyNumberFormat="1" applyFont="1" applyFill="1"/>
    <xf numFmtId="164" fontId="0" fillId="0" borderId="0" xfId="0" applyNumberFormat="1"/>
    <xf numFmtId="9" fontId="0" fillId="0" borderId="0" xfId="2" applyFont="1"/>
    <xf numFmtId="10" fontId="0" fillId="0" borderId="0" xfId="2" applyNumberFormat="1" applyFont="1"/>
    <xf numFmtId="164" fontId="0" fillId="2" borderId="0" xfId="1" applyNumberFormat="1" applyFont="1" applyFill="1"/>
    <xf numFmtId="0" fontId="0" fillId="0" borderId="0" xfId="0" applyAlignment="1"/>
    <xf numFmtId="0" fontId="0" fillId="0" borderId="0" xfId="0" applyFill="1"/>
    <xf numFmtId="164" fontId="0" fillId="0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20CF-47AC-4350-B2BB-3AA83C8195C6}">
  <dimension ref="A1:F67"/>
  <sheetViews>
    <sheetView zoomScale="85" zoomScaleNormal="85" workbookViewId="0">
      <selection activeCell="C54" sqref="C54"/>
    </sheetView>
  </sheetViews>
  <sheetFormatPr defaultRowHeight="12.75" x14ac:dyDescent="0.35"/>
  <cols>
    <col min="1" max="1" width="25.73046875" customWidth="1"/>
    <col min="2" max="3" width="16" bestFit="1" customWidth="1"/>
    <col min="4" max="4" width="13.46484375" bestFit="1" customWidth="1"/>
    <col min="5" max="5" width="14.1328125" bestFit="1" customWidth="1"/>
  </cols>
  <sheetData>
    <row r="1" spans="1:6" x14ac:dyDescent="0.35">
      <c r="A1" t="s">
        <v>0</v>
      </c>
    </row>
    <row r="2" spans="1:6" x14ac:dyDescent="0.35">
      <c r="B2" s="9"/>
      <c r="C2" s="9"/>
      <c r="D2" s="9"/>
    </row>
    <row r="3" spans="1:6" x14ac:dyDescent="0.35">
      <c r="A3" s="7" t="s">
        <v>46</v>
      </c>
      <c r="B3" s="14"/>
      <c r="C3" s="14"/>
      <c r="D3" s="9"/>
      <c r="E3" s="9"/>
    </row>
    <row r="4" spans="1:6" x14ac:dyDescent="0.35">
      <c r="A4" t="s">
        <v>39</v>
      </c>
      <c r="B4" s="9" t="s">
        <v>47</v>
      </c>
      <c r="C4" s="9" t="s">
        <v>48</v>
      </c>
      <c r="D4" s="9"/>
      <c r="E4" s="9"/>
    </row>
    <row r="5" spans="1:6" x14ac:dyDescent="0.35">
      <c r="A5" t="s">
        <v>49</v>
      </c>
      <c r="B5" s="9">
        <v>2584086032.5760145</v>
      </c>
      <c r="C5" s="9">
        <v>86136201.085867152</v>
      </c>
      <c r="D5" s="9"/>
      <c r="E5" s="9"/>
    </row>
    <row r="6" spans="1:6" x14ac:dyDescent="0.35">
      <c r="A6" t="s">
        <v>50</v>
      </c>
      <c r="B6" s="9">
        <v>288313811.70799732</v>
      </c>
      <c r="C6" s="9">
        <v>9610460.3902665768</v>
      </c>
      <c r="D6" s="9"/>
      <c r="E6" s="9"/>
    </row>
    <row r="7" spans="1:6" x14ac:dyDescent="0.35">
      <c r="A7" t="s">
        <v>51</v>
      </c>
      <c r="B7" s="9">
        <v>2295772220.8680172</v>
      </c>
      <c r="C7" s="9">
        <v>76525740.695600569</v>
      </c>
      <c r="D7" s="9"/>
      <c r="E7" s="9"/>
    </row>
    <row r="8" spans="1:6" x14ac:dyDescent="0.35">
      <c r="B8" s="9"/>
      <c r="C8" s="9"/>
      <c r="D8" s="9"/>
      <c r="E8" s="9"/>
    </row>
    <row r="9" spans="1:6" x14ac:dyDescent="0.35">
      <c r="A9" s="2" t="s">
        <v>28</v>
      </c>
      <c r="B9" s="18"/>
      <c r="C9" s="18"/>
      <c r="D9" s="18"/>
      <c r="E9" s="18"/>
    </row>
    <row r="10" spans="1:6" x14ac:dyDescent="0.35">
      <c r="A10" t="s">
        <v>1</v>
      </c>
      <c r="B10" s="9" t="s">
        <v>2</v>
      </c>
      <c r="C10" s="9" t="s">
        <v>3</v>
      </c>
      <c r="D10" s="9" t="s">
        <v>4</v>
      </c>
      <c r="E10" s="9" t="s">
        <v>31</v>
      </c>
      <c r="F10" s="1"/>
    </row>
    <row r="11" spans="1:6" x14ac:dyDescent="0.35">
      <c r="A11" t="s">
        <v>5</v>
      </c>
      <c r="B11" s="9">
        <v>3663106.3313778136</v>
      </c>
      <c r="C11" s="9">
        <v>346103560.53318441</v>
      </c>
      <c r="D11" s="9">
        <v>94.483623794508745</v>
      </c>
      <c r="E11" s="9">
        <v>11536785.351106146</v>
      </c>
      <c r="F11" s="1"/>
    </row>
    <row r="12" spans="1:6" x14ac:dyDescent="0.35">
      <c r="A12" t="s">
        <v>32</v>
      </c>
      <c r="B12" s="9">
        <v>1368588.395807371</v>
      </c>
      <c r="C12" s="9">
        <v>174982714.20544052</v>
      </c>
      <c r="D12" s="9">
        <v>127.85634800170362</v>
      </c>
      <c r="E12" s="9">
        <v>5832757.1401813505</v>
      </c>
      <c r="F12" s="1"/>
    </row>
    <row r="13" spans="1:6" x14ac:dyDescent="0.35">
      <c r="A13" t="s">
        <v>6</v>
      </c>
      <c r="B13" s="9">
        <v>459557.00068048935</v>
      </c>
      <c r="C13" s="9">
        <v>68933550.102073371</v>
      </c>
      <c r="D13" s="9">
        <v>149.99999999999994</v>
      </c>
      <c r="E13" s="9">
        <v>2297785.0034024459</v>
      </c>
      <c r="F13" s="1"/>
    </row>
    <row r="14" spans="1:6" x14ac:dyDescent="0.35">
      <c r="A14" t="s">
        <v>33</v>
      </c>
      <c r="B14" s="9">
        <v>503486.91100000031</v>
      </c>
      <c r="C14" s="9">
        <v>39191274.957572244</v>
      </c>
      <c r="D14" s="9">
        <v>77.839709635613985</v>
      </c>
      <c r="E14" s="9">
        <v>1306375.8319190748</v>
      </c>
      <c r="F14" s="1"/>
    </row>
    <row r="15" spans="1:6" x14ac:dyDescent="0.35">
      <c r="A15" t="s">
        <v>7</v>
      </c>
      <c r="B15" s="9">
        <v>2922709.4234227268</v>
      </c>
      <c r="C15" s="9">
        <v>146360230.57399887</v>
      </c>
      <c r="D15" s="9">
        <v>50.076901042936839</v>
      </c>
      <c r="E15" s="9">
        <v>4878674.3524666289</v>
      </c>
      <c r="F15" s="1"/>
    </row>
    <row r="16" spans="1:6" x14ac:dyDescent="0.35">
      <c r="A16" t="s">
        <v>8</v>
      </c>
      <c r="B16" s="9">
        <v>8917448.0622883998</v>
      </c>
      <c r="C16" s="9">
        <v>775571330.37226939</v>
      </c>
      <c r="D16" s="9"/>
      <c r="E16" s="9">
        <v>25852377.679075647</v>
      </c>
      <c r="F16" s="1"/>
    </row>
    <row r="17" spans="1:6" x14ac:dyDescent="0.35">
      <c r="B17" s="9"/>
      <c r="C17" s="9"/>
      <c r="D17" s="9"/>
      <c r="E17" s="9"/>
      <c r="F17" s="1"/>
    </row>
    <row r="18" spans="1:6" x14ac:dyDescent="0.35">
      <c r="A18" s="3" t="s">
        <v>29</v>
      </c>
      <c r="B18" s="10"/>
      <c r="C18" s="10"/>
      <c r="D18" s="10"/>
      <c r="E18" s="10"/>
      <c r="F18" s="1"/>
    </row>
    <row r="19" spans="1:6" x14ac:dyDescent="0.35">
      <c r="A19" t="s">
        <v>1</v>
      </c>
      <c r="B19" s="9" t="s">
        <v>9</v>
      </c>
      <c r="C19" s="9" t="s">
        <v>10</v>
      </c>
      <c r="D19" s="9" t="s">
        <v>11</v>
      </c>
      <c r="E19" s="9" t="s">
        <v>34</v>
      </c>
      <c r="F19" s="1"/>
    </row>
    <row r="20" spans="1:6" x14ac:dyDescent="0.35">
      <c r="A20" t="s">
        <v>5</v>
      </c>
      <c r="B20" s="9">
        <v>330288068.53171712</v>
      </c>
      <c r="C20" s="9">
        <v>3801106.3313778136</v>
      </c>
      <c r="D20" s="9">
        <v>8495183.5928876847</v>
      </c>
      <c r="E20" s="9">
        <v>11009602.284390571</v>
      </c>
      <c r="F20" s="1"/>
    </row>
    <row r="21" spans="1:6" x14ac:dyDescent="0.35">
      <c r="A21" t="s">
        <v>32</v>
      </c>
      <c r="B21" s="9">
        <v>231297402.38602024</v>
      </c>
      <c r="C21" s="9">
        <v>1436402.8150454008</v>
      </c>
      <c r="D21" s="9">
        <v>7420817.5350013897</v>
      </c>
      <c r="E21" s="9">
        <v>7709913.4128673412</v>
      </c>
      <c r="F21" s="1"/>
    </row>
    <row r="22" spans="1:6" x14ac:dyDescent="0.35">
      <c r="A22" t="s">
        <v>6</v>
      </c>
      <c r="B22" s="9">
        <v>103543755.78216007</v>
      </c>
      <c r="C22" s="9">
        <v>460548.2742118797</v>
      </c>
      <c r="D22" s="9">
        <v>5224049.1712367237</v>
      </c>
      <c r="E22" s="9">
        <v>3451458.5260720025</v>
      </c>
      <c r="F22" s="1"/>
    </row>
    <row r="23" spans="1:6" x14ac:dyDescent="0.35">
      <c r="A23" t="s">
        <v>33</v>
      </c>
      <c r="B23" s="9">
        <v>33257059.083548598</v>
      </c>
      <c r="C23" s="9">
        <v>518474.08800000028</v>
      </c>
      <c r="D23" s="9">
        <v>518474.08800000028</v>
      </c>
      <c r="E23" s="9">
        <v>1108568.6361182865</v>
      </c>
      <c r="F23" s="1"/>
    </row>
    <row r="24" spans="1:6" x14ac:dyDescent="0.35">
      <c r="A24" t="s">
        <v>7</v>
      </c>
      <c r="B24" s="9">
        <v>-189949619.86946493</v>
      </c>
      <c r="C24" s="9">
        <v>2971362.8343215007</v>
      </c>
      <c r="D24" s="9">
        <v>28462841.49618116</v>
      </c>
      <c r="E24" s="9">
        <v>-6331653.9956488311</v>
      </c>
      <c r="F24" s="1"/>
    </row>
    <row r="25" spans="1:6" x14ac:dyDescent="0.35">
      <c r="A25" t="s">
        <v>12</v>
      </c>
      <c r="B25" s="9">
        <v>508436665.91398114</v>
      </c>
      <c r="C25" s="9"/>
      <c r="D25" s="9"/>
      <c r="E25" s="9">
        <v>16947888.863799371</v>
      </c>
      <c r="F25" s="1"/>
    </row>
    <row r="26" spans="1:6" x14ac:dyDescent="0.35">
      <c r="B26" s="9"/>
      <c r="C26" s="9"/>
      <c r="D26" s="9"/>
      <c r="E26" s="9"/>
      <c r="F26" s="1"/>
    </row>
    <row r="27" spans="1:6" x14ac:dyDescent="0.35">
      <c r="A27" s="4" t="s">
        <v>13</v>
      </c>
      <c r="B27" s="11"/>
      <c r="C27" s="11"/>
      <c r="D27" s="9"/>
      <c r="E27" s="9"/>
      <c r="F27" s="1"/>
    </row>
    <row r="28" spans="1:6" x14ac:dyDescent="0.35">
      <c r="A28" t="s">
        <v>1</v>
      </c>
      <c r="B28" s="9" t="s">
        <v>35</v>
      </c>
      <c r="C28" s="9" t="s">
        <v>36</v>
      </c>
      <c r="D28" s="9"/>
      <c r="E28" s="9"/>
      <c r="F28" s="1"/>
    </row>
    <row r="29" spans="1:6" x14ac:dyDescent="0.35">
      <c r="A29" t="s">
        <v>5</v>
      </c>
      <c r="B29" s="9">
        <v>109893189.94133426</v>
      </c>
      <c r="C29" s="9">
        <v>3663106.3313778089</v>
      </c>
      <c r="D29" s="9"/>
      <c r="E29" s="9"/>
      <c r="F29" s="1"/>
    </row>
    <row r="30" spans="1:6" x14ac:dyDescent="0.35">
      <c r="A30" t="s">
        <v>32</v>
      </c>
      <c r="B30" s="9">
        <v>109487071.66458969</v>
      </c>
      <c r="C30" s="9">
        <v>3649569.0554863228</v>
      </c>
      <c r="D30" s="9"/>
      <c r="E30" s="9"/>
      <c r="F30" s="1"/>
    </row>
    <row r="31" spans="1:6" x14ac:dyDescent="0.35">
      <c r="A31" t="s">
        <v>6</v>
      </c>
      <c r="B31" s="9">
        <v>68933550.102073371</v>
      </c>
      <c r="C31" s="9">
        <v>2297785.0034024459</v>
      </c>
      <c r="D31" s="9"/>
      <c r="E31" s="9"/>
      <c r="F31" s="1"/>
    </row>
    <row r="32" spans="1:6" x14ac:dyDescent="0.35">
      <c r="A32" t="s">
        <v>33</v>
      </c>
      <c r="B32" s="9">
        <v>0</v>
      </c>
      <c r="C32" s="9">
        <v>0</v>
      </c>
      <c r="D32" s="9"/>
      <c r="E32" s="9"/>
      <c r="F32" s="1"/>
    </row>
    <row r="33" spans="1:6" x14ac:dyDescent="0.35">
      <c r="A33" t="s">
        <v>7</v>
      </c>
      <c r="B33" s="9">
        <v>0</v>
      </c>
      <c r="C33" s="9">
        <v>0</v>
      </c>
      <c r="D33" s="9"/>
      <c r="E33" s="9"/>
      <c r="F33" s="1"/>
    </row>
    <row r="34" spans="1:6" x14ac:dyDescent="0.35">
      <c r="A34" t="s">
        <v>14</v>
      </c>
      <c r="B34" s="9">
        <v>288313811.70799732</v>
      </c>
      <c r="C34" s="9">
        <v>9610460.3902665768</v>
      </c>
      <c r="D34" s="9"/>
      <c r="E34" s="9"/>
      <c r="F34" s="1"/>
    </row>
    <row r="35" spans="1:6" x14ac:dyDescent="0.35">
      <c r="A35" t="s">
        <v>15</v>
      </c>
      <c r="B35" s="9">
        <v>413649.65811764321</v>
      </c>
      <c r="C35" s="9"/>
      <c r="D35" s="9"/>
      <c r="E35" s="9"/>
      <c r="F35" s="1"/>
    </row>
    <row r="36" spans="1:6" x14ac:dyDescent="0.35">
      <c r="B36" s="9"/>
      <c r="C36" s="9"/>
      <c r="D36" s="9"/>
      <c r="E36" s="9"/>
      <c r="F36" s="1"/>
    </row>
    <row r="37" spans="1:6" x14ac:dyDescent="0.35">
      <c r="A37" s="5" t="s">
        <v>16</v>
      </c>
      <c r="B37" s="12"/>
      <c r="C37" s="12"/>
      <c r="D37" s="9"/>
      <c r="E37" s="9"/>
    </row>
    <row r="38" spans="1:6" x14ac:dyDescent="0.35">
      <c r="A38" t="s">
        <v>1</v>
      </c>
      <c r="B38" s="9" t="s">
        <v>37</v>
      </c>
      <c r="C38" s="9" t="s">
        <v>38</v>
      </c>
      <c r="D38" s="9"/>
      <c r="E38" s="9"/>
    </row>
    <row r="39" spans="1:6" x14ac:dyDescent="0.35">
      <c r="A39" t="s">
        <v>5</v>
      </c>
      <c r="B39" s="9">
        <v>220394878.59038287</v>
      </c>
      <c r="C39" s="9">
        <v>7346495.9530127626</v>
      </c>
      <c r="D39" s="9"/>
      <c r="E39" s="9"/>
    </row>
    <row r="40" spans="1:6" x14ac:dyDescent="0.35">
      <c r="A40" t="s">
        <v>32</v>
      </c>
      <c r="B40" s="9">
        <v>121810330.72143055</v>
      </c>
      <c r="C40" s="9">
        <v>4060344.3573810183</v>
      </c>
      <c r="D40" s="9"/>
      <c r="E40" s="9"/>
    </row>
    <row r="41" spans="1:6" ht="12.4" customHeight="1" x14ac:dyDescent="0.35">
      <c r="A41" t="s">
        <v>6</v>
      </c>
      <c r="B41" s="9">
        <v>34610205.680086702</v>
      </c>
      <c r="C41" s="9">
        <v>1153673.5226695568</v>
      </c>
      <c r="D41" s="9"/>
      <c r="E41" s="9"/>
    </row>
    <row r="42" spans="1:6" x14ac:dyDescent="0.35">
      <c r="A42" t="s">
        <v>33</v>
      </c>
      <c r="B42" s="9">
        <v>33257059.083548598</v>
      </c>
      <c r="C42" s="9">
        <v>1108568.6361182865</v>
      </c>
      <c r="D42" s="9"/>
      <c r="E42" s="9"/>
    </row>
    <row r="43" spans="1:6" x14ac:dyDescent="0.35">
      <c r="A43" t="s">
        <v>7</v>
      </c>
      <c r="B43" s="9">
        <v>-189949619.86946493</v>
      </c>
      <c r="C43" s="9">
        <v>-6331653.9956488311</v>
      </c>
      <c r="D43" s="9"/>
      <c r="E43" s="9"/>
    </row>
    <row r="44" spans="1:6" x14ac:dyDescent="0.35">
      <c r="A44" t="s">
        <v>17</v>
      </c>
      <c r="B44" s="9">
        <v>220122854.20598376</v>
      </c>
      <c r="C44" s="9">
        <v>7337428.473532794</v>
      </c>
      <c r="D44" s="9"/>
      <c r="E44" s="9"/>
    </row>
    <row r="45" spans="1:6" x14ac:dyDescent="0.35">
      <c r="B45" s="9"/>
      <c r="C45" s="9"/>
      <c r="D45" s="9"/>
      <c r="E45" s="9"/>
    </row>
    <row r="46" spans="1:6" x14ac:dyDescent="0.35">
      <c r="A46" s="6" t="s">
        <v>18</v>
      </c>
      <c r="B46" s="13"/>
      <c r="C46" s="9"/>
      <c r="D46" s="9"/>
      <c r="E46" s="9"/>
    </row>
    <row r="47" spans="1:6" x14ac:dyDescent="0.35">
      <c r="A47" t="s">
        <v>39</v>
      </c>
      <c r="B47" s="9" t="s">
        <v>8</v>
      </c>
      <c r="C47" s="9" t="s">
        <v>40</v>
      </c>
      <c r="D47" s="9"/>
      <c r="E47" s="9"/>
    </row>
    <row r="48" spans="1:6" x14ac:dyDescent="0.35">
      <c r="A48" t="s">
        <v>41</v>
      </c>
      <c r="B48" s="9">
        <v>125210.26440613762</v>
      </c>
      <c r="C48" s="9">
        <v>4173.6754802045871</v>
      </c>
      <c r="D48" s="9"/>
      <c r="E48" s="9"/>
    </row>
    <row r="49" spans="1:5" x14ac:dyDescent="0.35">
      <c r="A49" t="s">
        <v>42</v>
      </c>
      <c r="B49" s="9">
        <v>159913.90667424395</v>
      </c>
      <c r="C49" s="9">
        <v>5330.4635558081318</v>
      </c>
      <c r="D49" s="9"/>
      <c r="E49" s="9"/>
    </row>
    <row r="50" spans="1:5" x14ac:dyDescent="0.35">
      <c r="A50" t="s">
        <v>19</v>
      </c>
      <c r="B50" s="9">
        <v>100.40799486382831</v>
      </c>
      <c r="C50" s="9"/>
      <c r="D50" s="9"/>
      <c r="E50" s="9" t="s">
        <v>52</v>
      </c>
    </row>
    <row r="51" spans="1:5" x14ac:dyDescent="0.35">
      <c r="A51" t="s">
        <v>20</v>
      </c>
      <c r="B51" s="9">
        <v>55.271955371074846</v>
      </c>
      <c r="C51" s="9"/>
      <c r="D51" s="9"/>
      <c r="E51" s="9"/>
    </row>
    <row r="52" spans="1:5" x14ac:dyDescent="0.35">
      <c r="A52" t="s">
        <v>21</v>
      </c>
      <c r="B52" s="9">
        <v>12572111.58539005</v>
      </c>
      <c r="C52" s="9">
        <v>419070.3861796683</v>
      </c>
      <c r="D52" s="9"/>
      <c r="E52" s="9"/>
    </row>
    <row r="53" spans="1:5" x14ac:dyDescent="0.35">
      <c r="A53" t="s">
        <v>22</v>
      </c>
      <c r="B53" s="9">
        <v>8838754.3129130397</v>
      </c>
      <c r="C53" s="9">
        <v>294625.14376376796</v>
      </c>
      <c r="D53" s="9"/>
      <c r="E53" s="9"/>
    </row>
    <row r="54" spans="1:5" x14ac:dyDescent="0.35">
      <c r="A54" t="s">
        <v>23</v>
      </c>
      <c r="B54" s="9">
        <v>3733357.2724770103</v>
      </c>
      <c r="C54" s="9">
        <v>124445.24241590034</v>
      </c>
      <c r="D54" s="9"/>
      <c r="E54" s="9"/>
    </row>
    <row r="55" spans="1:5" x14ac:dyDescent="0.35">
      <c r="A55" t="s">
        <v>24</v>
      </c>
      <c r="B55" s="9">
        <v>5356.3232029799283</v>
      </c>
      <c r="C55" s="9"/>
      <c r="D55" s="9"/>
      <c r="E55" s="9"/>
    </row>
    <row r="56" spans="1:5" x14ac:dyDescent="0.35">
      <c r="B56" s="9"/>
      <c r="C56" s="9"/>
      <c r="D56" s="9"/>
      <c r="E56" s="9"/>
    </row>
    <row r="57" spans="1:5" x14ac:dyDescent="0.35">
      <c r="B57" s="9"/>
      <c r="C57" s="9"/>
      <c r="D57" s="9"/>
      <c r="E57" s="9"/>
    </row>
    <row r="58" spans="1:5" x14ac:dyDescent="0.35">
      <c r="A58" s="7" t="s">
        <v>30</v>
      </c>
      <c r="B58" s="14"/>
      <c r="C58" s="14"/>
      <c r="D58" s="14"/>
      <c r="E58" s="9"/>
    </row>
    <row r="59" spans="1:5" x14ac:dyDescent="0.35">
      <c r="A59" t="s">
        <v>1</v>
      </c>
      <c r="B59" s="9" t="s">
        <v>25</v>
      </c>
      <c r="C59" s="9" t="s">
        <v>26</v>
      </c>
      <c r="D59" s="9" t="s">
        <v>27</v>
      </c>
      <c r="E59" s="9"/>
    </row>
    <row r="60" spans="1:5" x14ac:dyDescent="0.35">
      <c r="A60" t="s">
        <v>5</v>
      </c>
      <c r="B60" s="9">
        <v>3663106.3313778136</v>
      </c>
      <c r="C60" s="9">
        <v>3663106.3313778136</v>
      </c>
      <c r="D60" s="9">
        <v>9.0949470177292824E-13</v>
      </c>
      <c r="E60" s="9"/>
    </row>
    <row r="61" spans="1:5" x14ac:dyDescent="0.35">
      <c r="A61" t="s">
        <v>32</v>
      </c>
      <c r="B61" s="9">
        <v>1368588.395807371</v>
      </c>
      <c r="C61" s="9">
        <v>1368588.395807371</v>
      </c>
      <c r="D61" s="9">
        <v>4.5474735088646412E-13</v>
      </c>
      <c r="E61" s="9"/>
    </row>
    <row r="62" spans="1:5" x14ac:dyDescent="0.35">
      <c r="A62" t="s">
        <v>6</v>
      </c>
      <c r="B62" s="9">
        <v>459557.00068048935</v>
      </c>
      <c r="C62" s="9">
        <v>459557.00068048935</v>
      </c>
      <c r="D62" s="9">
        <v>9.0949470177292824E-13</v>
      </c>
      <c r="E62" s="9"/>
    </row>
    <row r="63" spans="1:5" x14ac:dyDescent="0.35">
      <c r="A63" t="s">
        <v>33</v>
      </c>
      <c r="B63" s="9">
        <v>503486.91100000031</v>
      </c>
      <c r="C63" s="9">
        <v>503486.91100000031</v>
      </c>
      <c r="D63" s="9">
        <v>0</v>
      </c>
      <c r="E63" s="9"/>
    </row>
    <row r="64" spans="1:5" x14ac:dyDescent="0.35">
      <c r="A64" t="s">
        <v>7</v>
      </c>
      <c r="B64" s="9">
        <v>2922709.4234227268</v>
      </c>
      <c r="C64" s="9">
        <v>2922709.4234227268</v>
      </c>
      <c r="D64" s="9">
        <v>1.8189894035458565E-12</v>
      </c>
      <c r="E64" s="9"/>
    </row>
    <row r="65" spans="2:4" x14ac:dyDescent="0.35">
      <c r="B65" s="9"/>
      <c r="C65" s="9"/>
      <c r="D65" s="9"/>
    </row>
    <row r="66" spans="2:4" x14ac:dyDescent="0.35">
      <c r="B66" s="9"/>
      <c r="C66" s="9"/>
      <c r="D66" s="9"/>
    </row>
    <row r="67" spans="2:4" x14ac:dyDescent="0.35">
      <c r="B67" s="15"/>
      <c r="C6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0484-F5CF-492E-9022-66F31340CCCF}">
  <dimension ref="A1:F67"/>
  <sheetViews>
    <sheetView zoomScale="85" zoomScaleNormal="85" workbookViewId="0">
      <selection activeCell="H23" sqref="H23"/>
    </sheetView>
  </sheetViews>
  <sheetFormatPr defaultRowHeight="12.75" x14ac:dyDescent="0.35"/>
  <cols>
    <col min="1" max="1" width="25.73046875" customWidth="1"/>
    <col min="2" max="3" width="16" bestFit="1" customWidth="1"/>
    <col min="4" max="4" width="13.46484375" bestFit="1" customWidth="1"/>
    <col min="5" max="5" width="14.1328125" bestFit="1" customWidth="1"/>
    <col min="11" max="11" width="10.6640625" bestFit="1" customWidth="1"/>
  </cols>
  <sheetData>
    <row r="1" spans="1:6" x14ac:dyDescent="0.35">
      <c r="A1" t="s">
        <v>0</v>
      </c>
      <c r="B1" s="9"/>
      <c r="C1" s="9"/>
      <c r="D1" s="9"/>
      <c r="E1" s="9"/>
    </row>
    <row r="2" spans="1:6" x14ac:dyDescent="0.35">
      <c r="B2" s="9"/>
      <c r="C2" s="9"/>
      <c r="D2" s="9"/>
      <c r="E2" s="9"/>
    </row>
    <row r="3" spans="1:6" x14ac:dyDescent="0.35">
      <c r="A3" s="7" t="s">
        <v>46</v>
      </c>
      <c r="B3" s="14"/>
      <c r="C3" s="14"/>
      <c r="D3" s="9"/>
      <c r="E3" s="9"/>
    </row>
    <row r="4" spans="1:6" x14ac:dyDescent="0.35">
      <c r="A4" t="s">
        <v>39</v>
      </c>
      <c r="B4" s="9" t="s">
        <v>47</v>
      </c>
      <c r="C4" s="9" t="s">
        <v>48</v>
      </c>
      <c r="D4" s="9"/>
      <c r="E4" s="9"/>
      <c r="F4" s="9"/>
    </row>
    <row r="5" spans="1:6" x14ac:dyDescent="0.35">
      <c r="A5" t="s">
        <v>49</v>
      </c>
      <c r="B5" s="9">
        <v>2584143745.6844764</v>
      </c>
      <c r="C5" s="9">
        <v>83359475.667241171</v>
      </c>
      <c r="D5" s="9"/>
      <c r="E5" s="9"/>
      <c r="F5" s="9"/>
    </row>
    <row r="6" spans="1:6" x14ac:dyDescent="0.35">
      <c r="A6" t="s">
        <v>50</v>
      </c>
      <c r="B6" s="9">
        <v>289796429.50120944</v>
      </c>
      <c r="C6" s="9">
        <v>9348271.9193938524</v>
      </c>
      <c r="D6" s="9"/>
      <c r="E6" s="9"/>
      <c r="F6" s="9"/>
    </row>
    <row r="7" spans="1:6" x14ac:dyDescent="0.35">
      <c r="A7" t="s">
        <v>51</v>
      </c>
      <c r="B7" s="9">
        <v>2294347316.1832671</v>
      </c>
      <c r="C7" s="9">
        <v>74011203.747847334</v>
      </c>
      <c r="D7" s="9"/>
      <c r="E7" s="9"/>
      <c r="F7" s="9"/>
    </row>
    <row r="8" spans="1:6" x14ac:dyDescent="0.35">
      <c r="B8" s="9"/>
      <c r="C8" s="9"/>
      <c r="D8" s="9"/>
      <c r="E8" s="9"/>
      <c r="F8" s="9"/>
    </row>
    <row r="9" spans="1:6" x14ac:dyDescent="0.35">
      <c r="A9" s="2" t="s">
        <v>28</v>
      </c>
      <c r="B9" s="18"/>
      <c r="C9" s="18"/>
      <c r="D9" s="18"/>
      <c r="E9" s="18"/>
      <c r="F9" s="9"/>
    </row>
    <row r="10" spans="1:6" x14ac:dyDescent="0.35">
      <c r="A10" t="s">
        <v>1</v>
      </c>
      <c r="B10" s="9" t="s">
        <v>2</v>
      </c>
      <c r="C10" s="9" t="s">
        <v>3</v>
      </c>
      <c r="D10" s="9" t="s">
        <v>4</v>
      </c>
      <c r="E10" s="9" t="s">
        <v>31</v>
      </c>
      <c r="F10" s="9"/>
    </row>
    <row r="11" spans="1:6" x14ac:dyDescent="0.35">
      <c r="A11" t="s">
        <v>5</v>
      </c>
      <c r="B11" s="9">
        <v>3665367.2222046107</v>
      </c>
      <c r="C11" s="9">
        <v>342211268.5593155</v>
      </c>
      <c r="D11" s="9">
        <v>93.363433406130994</v>
      </c>
      <c r="E11" s="9">
        <v>11039073.179332757</v>
      </c>
      <c r="F11" s="9"/>
    </row>
    <row r="12" spans="1:6" x14ac:dyDescent="0.35">
      <c r="A12" t="s">
        <v>32</v>
      </c>
      <c r="B12" s="9">
        <v>1350857.0421643653</v>
      </c>
      <c r="C12" s="9">
        <v>169800126.84387761</v>
      </c>
      <c r="D12" s="9">
        <v>125.69807281148053</v>
      </c>
      <c r="E12" s="9">
        <v>5477423.4465766968</v>
      </c>
      <c r="F12" s="9"/>
    </row>
    <row r="13" spans="1:6" x14ac:dyDescent="0.35">
      <c r="A13" t="s">
        <v>6</v>
      </c>
      <c r="B13" s="9">
        <v>478445.66307947901</v>
      </c>
      <c r="C13" s="9">
        <v>72231849.461921826</v>
      </c>
      <c r="D13" s="9">
        <v>150.97189719937481</v>
      </c>
      <c r="E13" s="9">
        <v>2330059.6600619946</v>
      </c>
      <c r="F13" s="9"/>
    </row>
    <row r="14" spans="1:6" x14ac:dyDescent="0.35">
      <c r="A14" t="s">
        <v>33</v>
      </c>
      <c r="B14" s="9">
        <v>503486.91100000031</v>
      </c>
      <c r="C14" s="9">
        <v>38578750.262571007</v>
      </c>
      <c r="D14" s="9">
        <v>76.623144355327611</v>
      </c>
      <c r="E14" s="9">
        <v>1244475.8149216454</v>
      </c>
      <c r="F14" s="9"/>
    </row>
    <row r="15" spans="1:6" x14ac:dyDescent="0.35">
      <c r="A15" t="s">
        <v>7</v>
      </c>
      <c r="B15" s="9">
        <v>2887258.772348355</v>
      </c>
      <c r="C15" s="9">
        <v>137030448.91474897</v>
      </c>
      <c r="D15" s="9">
        <v>47.460397463194859</v>
      </c>
      <c r="E15" s="9">
        <v>4420337.0617660955</v>
      </c>
      <c r="F15" s="9"/>
    </row>
    <row r="16" spans="1:6" x14ac:dyDescent="0.35">
      <c r="A16" t="s">
        <v>8</v>
      </c>
      <c r="B16" s="9">
        <v>8885415.6107968092</v>
      </c>
      <c r="C16" s="9">
        <v>759852444.04243493</v>
      </c>
      <c r="D16" s="9"/>
      <c r="E16" s="9">
        <v>24511369.162659191</v>
      </c>
      <c r="F16" s="9"/>
    </row>
    <row r="17" spans="1:6" x14ac:dyDescent="0.35">
      <c r="B17" s="9"/>
      <c r="C17" s="9"/>
      <c r="D17" s="9"/>
      <c r="E17" s="9"/>
      <c r="F17" s="9"/>
    </row>
    <row r="18" spans="1:6" x14ac:dyDescent="0.35">
      <c r="A18" s="3" t="s">
        <v>29</v>
      </c>
      <c r="B18" s="10"/>
      <c r="C18" s="10"/>
      <c r="D18" s="10"/>
      <c r="E18" s="10"/>
      <c r="F18" s="9"/>
    </row>
    <row r="19" spans="1:6" x14ac:dyDescent="0.35">
      <c r="A19" t="s">
        <v>1</v>
      </c>
      <c r="B19" s="9" t="s">
        <v>9</v>
      </c>
      <c r="C19" s="9" t="s">
        <v>10</v>
      </c>
      <c r="D19" s="9" t="s">
        <v>11</v>
      </c>
      <c r="E19" s="9" t="s">
        <v>34</v>
      </c>
      <c r="F19" s="9"/>
    </row>
    <row r="20" spans="1:6" x14ac:dyDescent="0.35">
      <c r="A20" t="s">
        <v>5</v>
      </c>
      <c r="B20" s="9">
        <v>353801679.93586671</v>
      </c>
      <c r="C20" s="9">
        <v>3803095.8516851799</v>
      </c>
      <c r="D20" s="9">
        <v>6292927.7061479799</v>
      </c>
      <c r="E20" s="9">
        <v>11412957.417286023</v>
      </c>
      <c r="F20" s="9"/>
    </row>
    <row r="21" spans="1:6" x14ac:dyDescent="0.35">
      <c r="A21" t="s">
        <v>32</v>
      </c>
      <c r="B21" s="9">
        <v>213063812.7836518</v>
      </c>
      <c r="C21" s="9">
        <v>1415113.5920320794</v>
      </c>
      <c r="D21" s="9">
        <v>4418994.4759038948</v>
      </c>
      <c r="E21" s="9">
        <v>6873026.2188274777</v>
      </c>
      <c r="F21" s="9"/>
    </row>
    <row r="22" spans="1:6" x14ac:dyDescent="0.35">
      <c r="A22" t="s">
        <v>6</v>
      </c>
      <c r="B22" s="9">
        <v>92804879.313542962</v>
      </c>
      <c r="C22" s="9">
        <v>479750.59997947875</v>
      </c>
      <c r="D22" s="9">
        <v>3142374.8574758656</v>
      </c>
      <c r="E22" s="9">
        <v>2993705.7843078375</v>
      </c>
      <c r="F22" s="9"/>
    </row>
    <row r="23" spans="1:6" x14ac:dyDescent="0.35">
      <c r="A23" t="s">
        <v>33</v>
      </c>
      <c r="B23" s="9">
        <v>39670596.146329917</v>
      </c>
      <c r="C23" s="9">
        <v>518474.08800000005</v>
      </c>
      <c r="D23" s="9">
        <v>518474.08800000005</v>
      </c>
      <c r="E23" s="9">
        <v>1279696.6498816102</v>
      </c>
      <c r="F23" s="9"/>
    </row>
    <row r="24" spans="1:6" x14ac:dyDescent="0.35">
      <c r="A24" t="s">
        <v>7</v>
      </c>
      <c r="B24" s="9">
        <v>-39522450.129126966</v>
      </c>
      <c r="C24" s="9">
        <v>2945099.6955197365</v>
      </c>
      <c r="D24" s="9">
        <v>15801544.903136302</v>
      </c>
      <c r="E24" s="9">
        <v>-1274917.74610087</v>
      </c>
      <c r="F24" s="9"/>
    </row>
    <row r="25" spans="1:6" x14ac:dyDescent="0.35">
      <c r="A25" t="s">
        <v>12</v>
      </c>
      <c r="B25" s="9">
        <v>659818518.05026436</v>
      </c>
      <c r="C25" s="9"/>
      <c r="D25" s="9"/>
      <c r="E25" s="9">
        <v>21284468.324202076</v>
      </c>
      <c r="F25" s="9"/>
    </row>
    <row r="26" spans="1:6" x14ac:dyDescent="0.35">
      <c r="B26" s="9"/>
      <c r="C26" s="9"/>
      <c r="D26" s="9"/>
      <c r="E26" s="9"/>
      <c r="F26" s="9"/>
    </row>
    <row r="27" spans="1:6" x14ac:dyDescent="0.35">
      <c r="A27" s="4" t="s">
        <v>13</v>
      </c>
      <c r="B27" s="11"/>
      <c r="C27" s="11"/>
      <c r="D27" s="9"/>
      <c r="E27" s="9"/>
      <c r="F27" s="9"/>
    </row>
    <row r="28" spans="1:6" x14ac:dyDescent="0.35">
      <c r="A28" t="s">
        <v>1</v>
      </c>
      <c r="B28" s="9" t="s">
        <v>35</v>
      </c>
      <c r="C28" s="9" t="s">
        <v>36</v>
      </c>
      <c r="D28" s="9"/>
      <c r="E28" s="9"/>
      <c r="F28" s="9"/>
    </row>
    <row r="29" spans="1:6" x14ac:dyDescent="0.35">
      <c r="A29" t="s">
        <v>5</v>
      </c>
      <c r="B29" s="9">
        <v>109961016.66613841</v>
      </c>
      <c r="C29" s="9">
        <v>3547129.5698754326</v>
      </c>
      <c r="D29" s="9"/>
      <c r="E29" s="9"/>
      <c r="F29" s="9"/>
    </row>
    <row r="30" spans="1:6" x14ac:dyDescent="0.35">
      <c r="A30" t="s">
        <v>32</v>
      </c>
      <c r="B30" s="9">
        <v>108068563.37314922</v>
      </c>
      <c r="C30" s="9">
        <v>3486082.6894564265</v>
      </c>
      <c r="D30" s="9"/>
      <c r="E30" s="9"/>
      <c r="F30" s="9"/>
    </row>
    <row r="31" spans="1:6" x14ac:dyDescent="0.35">
      <c r="A31" t="s">
        <v>6</v>
      </c>
      <c r="B31" s="9">
        <v>71766849.461921826</v>
      </c>
      <c r="C31" s="9">
        <v>2315059.6600619946</v>
      </c>
      <c r="D31" s="9"/>
      <c r="E31" s="9"/>
      <c r="F31" s="9"/>
    </row>
    <row r="32" spans="1:6" x14ac:dyDescent="0.35">
      <c r="A32" t="s">
        <v>33</v>
      </c>
      <c r="B32" s="9">
        <v>0</v>
      </c>
      <c r="C32" s="9">
        <v>0</v>
      </c>
      <c r="D32" s="9"/>
      <c r="E32" s="9"/>
      <c r="F32" s="9"/>
    </row>
    <row r="33" spans="1:6" x14ac:dyDescent="0.35">
      <c r="A33" t="s">
        <v>7</v>
      </c>
      <c r="B33" s="9">
        <v>0</v>
      </c>
      <c r="C33" s="9">
        <v>0</v>
      </c>
      <c r="D33" s="9"/>
      <c r="E33" s="9"/>
      <c r="F33" s="9"/>
    </row>
    <row r="34" spans="1:6" x14ac:dyDescent="0.35">
      <c r="A34" t="s">
        <v>14</v>
      </c>
      <c r="B34" s="9">
        <v>289796429.50120944</v>
      </c>
      <c r="C34" s="9">
        <v>9348271.9193938524</v>
      </c>
      <c r="D34" s="9"/>
      <c r="E34" s="9"/>
      <c r="F34" s="9"/>
    </row>
    <row r="35" spans="1:6" x14ac:dyDescent="0.35">
      <c r="A35" t="s">
        <v>15</v>
      </c>
      <c r="B35" s="9">
        <v>415776.79985826317</v>
      </c>
      <c r="C35" s="9"/>
      <c r="D35" s="9"/>
      <c r="E35" s="9"/>
      <c r="F35" s="9"/>
    </row>
    <row r="36" spans="1:6" x14ac:dyDescent="0.35">
      <c r="B36" s="9"/>
      <c r="C36" s="9"/>
      <c r="D36" s="9"/>
      <c r="E36" s="9"/>
      <c r="F36" s="9"/>
    </row>
    <row r="37" spans="1:6" x14ac:dyDescent="0.35">
      <c r="A37" s="5" t="s">
        <v>16</v>
      </c>
      <c r="B37" s="12"/>
      <c r="C37" s="12"/>
      <c r="D37" s="9"/>
      <c r="E37" s="9"/>
      <c r="F37" s="9"/>
    </row>
    <row r="38" spans="1:6" x14ac:dyDescent="0.35">
      <c r="A38" t="s">
        <v>1</v>
      </c>
      <c r="B38" s="9" t="s">
        <v>37</v>
      </c>
      <c r="C38" s="9" t="s">
        <v>38</v>
      </c>
      <c r="D38" s="9"/>
      <c r="E38" s="9"/>
      <c r="F38" s="9"/>
    </row>
    <row r="39" spans="1:6" x14ac:dyDescent="0.35">
      <c r="A39" t="s">
        <v>5</v>
      </c>
      <c r="B39" s="9">
        <v>243840663.2697283</v>
      </c>
      <c r="C39" s="9">
        <v>7865827.8474105904</v>
      </c>
      <c r="D39" s="9"/>
      <c r="E39" s="9"/>
      <c r="F39" s="9"/>
    </row>
    <row r="40" spans="1:6" x14ac:dyDescent="0.35">
      <c r="A40" t="s">
        <v>32</v>
      </c>
      <c r="B40" s="9">
        <v>104995249.41050258</v>
      </c>
      <c r="C40" s="9">
        <v>3386943.5293710511</v>
      </c>
      <c r="D40" s="9"/>
      <c r="E40" s="9"/>
      <c r="F40" s="9"/>
    </row>
    <row r="41" spans="1:6" ht="12.4" customHeight="1" x14ac:dyDescent="0.35">
      <c r="A41" t="s">
        <v>6</v>
      </c>
      <c r="B41" s="9">
        <v>21038029.851621136</v>
      </c>
      <c r="C41" s="9">
        <v>678646.12424584315</v>
      </c>
      <c r="D41" s="9"/>
      <c r="E41" s="9"/>
      <c r="F41" s="9"/>
    </row>
    <row r="42" spans="1:6" x14ac:dyDescent="0.35">
      <c r="A42" t="s">
        <v>33</v>
      </c>
      <c r="B42" s="9">
        <v>39670596.146329917</v>
      </c>
      <c r="C42" s="9">
        <v>1279696.6498816102</v>
      </c>
      <c r="D42" s="9"/>
      <c r="E42" s="9"/>
      <c r="F42" s="9"/>
    </row>
    <row r="43" spans="1:6" x14ac:dyDescent="0.35">
      <c r="A43" t="s">
        <v>7</v>
      </c>
      <c r="B43" s="9">
        <v>-39522450.129126966</v>
      </c>
      <c r="C43" s="9">
        <v>-1274917.74610087</v>
      </c>
      <c r="D43" s="9"/>
      <c r="E43" s="9"/>
      <c r="F43" s="9"/>
    </row>
    <row r="44" spans="1:6" x14ac:dyDescent="0.35">
      <c r="A44" t="s">
        <v>17</v>
      </c>
      <c r="B44" s="9">
        <v>370022088.54905498</v>
      </c>
      <c r="C44" s="9">
        <v>11936196.404808227</v>
      </c>
      <c r="D44" s="9"/>
      <c r="E44" s="9"/>
      <c r="F44" s="9"/>
    </row>
    <row r="45" spans="1:6" x14ac:dyDescent="0.35">
      <c r="B45" s="9"/>
      <c r="C45" s="9"/>
      <c r="D45" s="9"/>
      <c r="E45" s="9"/>
      <c r="F45" s="9"/>
    </row>
    <row r="46" spans="1:6" x14ac:dyDescent="0.35">
      <c r="A46" s="6" t="s">
        <v>18</v>
      </c>
      <c r="B46" s="13"/>
      <c r="C46" s="9"/>
      <c r="D46" s="9"/>
      <c r="E46" s="9"/>
      <c r="F46" s="9"/>
    </row>
    <row r="47" spans="1:6" x14ac:dyDescent="0.35">
      <c r="A47" t="s">
        <v>39</v>
      </c>
      <c r="B47" s="9" t="s">
        <v>8</v>
      </c>
      <c r="C47" s="9" t="s">
        <v>40</v>
      </c>
      <c r="D47" s="9"/>
      <c r="E47" s="9"/>
      <c r="F47" s="9"/>
    </row>
    <row r="48" spans="1:6" x14ac:dyDescent="0.35">
      <c r="A48" t="s">
        <v>41</v>
      </c>
      <c r="B48" s="9">
        <v>166466.90616790851</v>
      </c>
      <c r="C48" s="9">
        <v>5369.9001989647904</v>
      </c>
      <c r="D48" s="9"/>
      <c r="E48" s="9"/>
      <c r="F48" s="9"/>
    </row>
    <row r="49" spans="1:6" x14ac:dyDescent="0.35">
      <c r="A49" t="s">
        <v>42</v>
      </c>
      <c r="B49" s="9">
        <v>167983.83477519566</v>
      </c>
      <c r="C49" s="9">
        <v>5418.8333798450212</v>
      </c>
      <c r="D49" s="9"/>
      <c r="E49" s="9"/>
      <c r="F49" s="9"/>
    </row>
    <row r="50" spans="1:6" x14ac:dyDescent="0.35">
      <c r="A50" t="s">
        <v>19</v>
      </c>
      <c r="B50" s="9">
        <v>86.756124727944837</v>
      </c>
      <c r="C50" s="9"/>
      <c r="D50" s="9"/>
      <c r="E50" s="9" t="s">
        <v>52</v>
      </c>
      <c r="F50" s="9"/>
    </row>
    <row r="51" spans="1:6" x14ac:dyDescent="0.35">
      <c r="A51" t="s">
        <v>20</v>
      </c>
      <c r="B51" s="9">
        <v>53.479018094525657</v>
      </c>
      <c r="C51" s="9"/>
      <c r="D51" s="9"/>
      <c r="E51" s="9"/>
      <c r="F51" s="9"/>
    </row>
    <row r="52" spans="1:6" x14ac:dyDescent="0.35">
      <c r="A52" t="s">
        <v>21</v>
      </c>
      <c r="B52" s="9">
        <v>14442023.67457816</v>
      </c>
      <c r="C52" s="9">
        <v>465871.73143800517</v>
      </c>
      <c r="D52" s="9"/>
      <c r="E52" s="9"/>
      <c r="F52" s="9"/>
    </row>
    <row r="53" spans="1:6" x14ac:dyDescent="0.35">
      <c r="A53" t="s">
        <v>22</v>
      </c>
      <c r="B53" s="9">
        <v>8983610.539530497</v>
      </c>
      <c r="C53" s="9">
        <v>289793.88837195153</v>
      </c>
      <c r="D53" s="9"/>
      <c r="E53" s="9"/>
      <c r="F53" s="9"/>
    </row>
    <row r="54" spans="1:6" x14ac:dyDescent="0.35">
      <c r="A54" t="s">
        <v>23</v>
      </c>
      <c r="B54" s="9">
        <v>5458413.135047663</v>
      </c>
      <c r="C54" s="9">
        <v>176077.84306605364</v>
      </c>
      <c r="D54" s="9"/>
      <c r="E54" s="9"/>
      <c r="F54" s="9"/>
    </row>
    <row r="55" spans="1:6" x14ac:dyDescent="0.35">
      <c r="A55" t="s">
        <v>24</v>
      </c>
      <c r="B55" s="9">
        <v>7831.2957461229025</v>
      </c>
      <c r="C55" s="9"/>
      <c r="D55" s="9"/>
      <c r="E55" s="9"/>
      <c r="F55" s="9"/>
    </row>
    <row r="56" spans="1:6" x14ac:dyDescent="0.35">
      <c r="B56" s="9"/>
      <c r="C56" s="9"/>
      <c r="D56" s="9"/>
      <c r="E56" s="9"/>
      <c r="F56" s="9"/>
    </row>
    <row r="57" spans="1:6" x14ac:dyDescent="0.35">
      <c r="B57" s="9"/>
      <c r="C57" s="9"/>
      <c r="D57" s="9"/>
      <c r="E57" s="9"/>
      <c r="F57" s="9"/>
    </row>
    <row r="58" spans="1:6" x14ac:dyDescent="0.35">
      <c r="A58" s="7" t="s">
        <v>30</v>
      </c>
      <c r="B58" s="14"/>
      <c r="C58" s="14"/>
      <c r="D58" s="14"/>
      <c r="E58" s="9"/>
      <c r="F58" s="9"/>
    </row>
    <row r="59" spans="1:6" x14ac:dyDescent="0.35">
      <c r="A59" t="s">
        <v>1</v>
      </c>
      <c r="B59" s="9" t="s">
        <v>25</v>
      </c>
      <c r="C59" s="9" t="s">
        <v>26</v>
      </c>
      <c r="D59" s="9" t="s">
        <v>27</v>
      </c>
      <c r="E59" s="9"/>
      <c r="F59" s="9"/>
    </row>
    <row r="60" spans="1:6" x14ac:dyDescent="0.35">
      <c r="A60" t="s">
        <v>5</v>
      </c>
      <c r="B60" s="9">
        <v>3665367.2222046107</v>
      </c>
      <c r="C60" s="9">
        <v>3665367.2222046107</v>
      </c>
      <c r="D60" s="9">
        <v>4.5474735088646412E-13</v>
      </c>
      <c r="E60" s="9"/>
      <c r="F60" s="9"/>
    </row>
    <row r="61" spans="1:6" x14ac:dyDescent="0.35">
      <c r="A61" t="s">
        <v>32</v>
      </c>
      <c r="B61" s="9">
        <v>1350857.0421643653</v>
      </c>
      <c r="C61" s="9">
        <v>1350857.0421643653</v>
      </c>
      <c r="D61" s="9">
        <v>4.5474735088646412E-13</v>
      </c>
      <c r="E61" s="9"/>
      <c r="F61" s="9"/>
    </row>
    <row r="62" spans="1:6" x14ac:dyDescent="0.35">
      <c r="A62" t="s">
        <v>6</v>
      </c>
      <c r="B62" s="9">
        <v>478445.66307947901</v>
      </c>
      <c r="C62" s="9">
        <v>478445.66307947901</v>
      </c>
      <c r="D62" s="9">
        <v>9.0949470177292824E-13</v>
      </c>
      <c r="E62" s="9"/>
      <c r="F62" s="9"/>
    </row>
    <row r="63" spans="1:6" x14ac:dyDescent="0.35">
      <c r="A63" t="s">
        <v>33</v>
      </c>
      <c r="B63" s="9">
        <v>503486.91100000031</v>
      </c>
      <c r="C63" s="9">
        <v>503486.91100000031</v>
      </c>
      <c r="D63" s="9">
        <v>0</v>
      </c>
      <c r="E63" s="9"/>
      <c r="F63" s="9"/>
    </row>
    <row r="64" spans="1:6" x14ac:dyDescent="0.35">
      <c r="A64" t="s">
        <v>7</v>
      </c>
      <c r="B64" s="9">
        <v>2887258.772348355</v>
      </c>
      <c r="C64" s="9">
        <v>2887258.772348355</v>
      </c>
      <c r="D64" s="9">
        <v>1.8189894035458565E-12</v>
      </c>
      <c r="E64" s="9"/>
      <c r="F64" s="9"/>
    </row>
    <row r="65" spans="2:6" x14ac:dyDescent="0.35">
      <c r="B65" s="9"/>
      <c r="C65" s="9"/>
      <c r="D65" s="9"/>
      <c r="E65" s="9"/>
      <c r="F65" s="9"/>
    </row>
    <row r="66" spans="2:6" x14ac:dyDescent="0.35">
      <c r="B66" s="9"/>
      <c r="C66" s="9"/>
      <c r="D66" s="9"/>
      <c r="E66" s="9"/>
      <c r="F66" s="9"/>
    </row>
    <row r="67" spans="2:6" x14ac:dyDescent="0.35">
      <c r="B67" s="9"/>
      <c r="C67" s="9"/>
      <c r="D67" s="9"/>
      <c r="E67" s="9"/>
      <c r="F6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4AAD-BFA3-45E4-8DCE-8C7BF796E691}">
  <dimension ref="A1:D21"/>
  <sheetViews>
    <sheetView tabSelected="1" zoomScale="75" workbookViewId="0">
      <selection activeCell="D10" sqref="A1:D10"/>
    </sheetView>
  </sheetViews>
  <sheetFormatPr defaultRowHeight="12.75" x14ac:dyDescent="0.35"/>
  <cols>
    <col min="1" max="1" width="23.265625" customWidth="1"/>
    <col min="2" max="2" width="13.46484375" bestFit="1" customWidth="1"/>
    <col min="3" max="3" width="12.3984375" bestFit="1" customWidth="1"/>
    <col min="4" max="4" width="13.9296875" bestFit="1" customWidth="1"/>
  </cols>
  <sheetData>
    <row r="1" spans="1:4" x14ac:dyDescent="0.35">
      <c r="B1" s="19" t="s">
        <v>53</v>
      </c>
      <c r="C1" s="19" t="s">
        <v>54</v>
      </c>
      <c r="D1" s="19" t="s">
        <v>45</v>
      </c>
    </row>
    <row r="2" spans="1:4" x14ac:dyDescent="0.35">
      <c r="A2" t="s">
        <v>43</v>
      </c>
      <c r="B2" s="9">
        <f>Rolling!C34</f>
        <v>9610460.3902665768</v>
      </c>
      <c r="C2" s="9">
        <f>Fixed!C34</f>
        <v>9348271.9193938524</v>
      </c>
      <c r="D2" s="17">
        <f>(C2-B2)/B2</f>
        <v>-2.7281572393583507E-2</v>
      </c>
    </row>
    <row r="3" spans="1:4" x14ac:dyDescent="0.35">
      <c r="A3" t="s">
        <v>44</v>
      </c>
      <c r="B3" s="9">
        <f>Rolling!C54</f>
        <v>124445.24241590034</v>
      </c>
      <c r="C3" s="9">
        <f>Fixed!C54</f>
        <v>176077.84306605364</v>
      </c>
      <c r="D3" s="16">
        <f>(C3-B3)/B3</f>
        <v>0.41490216618804393</v>
      </c>
    </row>
    <row r="4" spans="1:4" x14ac:dyDescent="0.35">
      <c r="A4" t="s">
        <v>55</v>
      </c>
      <c r="B4" s="9">
        <f>Rolling!C7</f>
        <v>76525740.695600569</v>
      </c>
      <c r="C4" s="9">
        <f>Fixed!C7</f>
        <v>74011203.747847334</v>
      </c>
      <c r="D4" s="16">
        <f t="shared" ref="D4:D5" si="0">(C4-B4)/B4</f>
        <v>-3.2858707735419476E-2</v>
      </c>
    </row>
    <row r="5" spans="1:4" x14ac:dyDescent="0.35">
      <c r="A5" t="s">
        <v>56</v>
      </c>
      <c r="B5" s="9"/>
      <c r="C5" s="9"/>
      <c r="D5" s="16"/>
    </row>
    <row r="6" spans="1:4" x14ac:dyDescent="0.35">
      <c r="A6" s="8" t="s">
        <v>5</v>
      </c>
      <c r="B6" s="9">
        <f>Rolling!E20</f>
        <v>11009602.284390571</v>
      </c>
      <c r="C6" s="9">
        <f>Fixed!E20</f>
        <v>11412957.417286023</v>
      </c>
      <c r="D6" s="16">
        <f>(C6-B6)/B6</f>
        <v>3.6636667018147454E-2</v>
      </c>
    </row>
    <row r="7" spans="1:4" x14ac:dyDescent="0.35">
      <c r="A7" s="8" t="s">
        <v>32</v>
      </c>
      <c r="B7" s="9">
        <f>Rolling!E21</f>
        <v>7709913.4128673412</v>
      </c>
      <c r="C7" s="9">
        <f>Fixed!E21</f>
        <v>6873026.2188274777</v>
      </c>
      <c r="D7" s="16">
        <f>(C7-B7)/B7</f>
        <v>-0.10854689919644928</v>
      </c>
    </row>
    <row r="8" spans="1:4" x14ac:dyDescent="0.35">
      <c r="A8" s="8" t="s">
        <v>6</v>
      </c>
      <c r="B8" s="9">
        <f>Rolling!E22</f>
        <v>3451458.5260720025</v>
      </c>
      <c r="C8" s="9">
        <f>Fixed!E22</f>
        <v>2993705.7843078375</v>
      </c>
      <c r="D8" s="16">
        <f>(C8-B8)/B8</f>
        <v>-0.13262588505883602</v>
      </c>
    </row>
    <row r="9" spans="1:4" x14ac:dyDescent="0.35">
      <c r="A9" s="8" t="s">
        <v>33</v>
      </c>
      <c r="B9" s="9">
        <f>Rolling!E23</f>
        <v>1108568.6361182865</v>
      </c>
      <c r="C9" s="9">
        <f>Fixed!E23</f>
        <v>1279696.6498816102</v>
      </c>
      <c r="D9" s="16">
        <f>(C9-B9)/B9</f>
        <v>0.15436844250125795</v>
      </c>
    </row>
    <row r="10" spans="1:4" x14ac:dyDescent="0.35">
      <c r="A10" s="8" t="s">
        <v>7</v>
      </c>
      <c r="B10" s="9">
        <f>Rolling!E24</f>
        <v>-6331653.9956488311</v>
      </c>
      <c r="C10" s="9">
        <f>Fixed!E24</f>
        <v>-1274917.74610087</v>
      </c>
      <c r="D10" s="16">
        <f>(C10-B10)/B10</f>
        <v>-0.79864380666141821</v>
      </c>
    </row>
    <row r="17" spans="1:4" x14ac:dyDescent="0.35">
      <c r="A17" s="20"/>
      <c r="B17" s="21"/>
      <c r="C17" s="21"/>
      <c r="D17" s="21"/>
    </row>
    <row r="18" spans="1:4" x14ac:dyDescent="0.35">
      <c r="B18" s="9"/>
      <c r="C18" s="9"/>
      <c r="D18" s="9"/>
    </row>
    <row r="19" spans="1:4" x14ac:dyDescent="0.35">
      <c r="B19" s="9"/>
      <c r="C19" s="9"/>
      <c r="D19" s="9"/>
    </row>
    <row r="20" spans="1:4" x14ac:dyDescent="0.35">
      <c r="B20" s="9"/>
      <c r="C20" s="9"/>
      <c r="D20" s="9"/>
    </row>
    <row r="21" spans="1:4" x14ac:dyDescent="0.35">
      <c r="B21" s="9"/>
      <c r="C21" s="9"/>
      <c r="D21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Rolling</vt:lpstr>
      <vt:lpstr>Fixed</vt:lpstr>
      <vt:lpstr>Comparison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Linuesa-Domenech, Laura</dc:creator>
  <cp:lastModifiedBy>Linuesa-Domenech, Laura</cp:lastModifiedBy>
  <dcterms:created xsi:type="dcterms:W3CDTF">2026-01-27T15:50:57Z</dcterms:created>
  <dcterms:modified xsi:type="dcterms:W3CDTF">2026-03-13T12:24:24Z</dcterms:modified>
</cp:coreProperties>
</file>