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Thesis/Code/"/>
    </mc:Choice>
  </mc:AlternateContent>
  <xr:revisionPtr revIDLastSave="757" documentId="8_{BA558C3F-E59C-4F04-9D2E-8441DAA40C29}" xr6:coauthVersionLast="47" xr6:coauthVersionMax="47" xr10:uidLastSave="{1AE06F12-5C49-4232-ABF6-147A8239056A}"/>
  <bookViews>
    <workbookView xWindow="-98" yWindow="-98" windowWidth="19396" windowHeight="11475" xr2:uid="{4AE1EDD8-8ACF-4AF9-86A6-B0088C54F040}"/>
  </bookViews>
  <sheets>
    <sheet name="Rolling" sheetId="1" r:id="rId1"/>
    <sheet name="Fixed" sheetId="8" r:id="rId2"/>
    <sheet name="Comparis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C9" i="7"/>
  <c r="C8" i="7"/>
  <c r="C7" i="7"/>
  <c r="C6" i="7"/>
  <c r="B10" i="7"/>
  <c r="B9" i="7"/>
  <c r="B8" i="7"/>
  <c r="B7" i="7"/>
  <c r="B6" i="7"/>
  <c r="C4" i="7"/>
  <c r="B4" i="7"/>
  <c r="C3" i="7"/>
  <c r="C2" i="7"/>
  <c r="B2" i="7"/>
  <c r="D4" i="7" l="1"/>
  <c r="C65" i="1"/>
  <c r="C65" i="8"/>
  <c r="B3" i="7"/>
  <c r="D9" i="7" l="1"/>
  <c r="D7" i="7"/>
  <c r="D6" i="7"/>
  <c r="D3" i="7"/>
  <c r="D2" i="7"/>
  <c r="D10" i="7"/>
  <c r="D8" i="7"/>
</calcChain>
</file>

<file path=xl/sharedStrings.xml><?xml version="1.0" encoding="utf-8"?>
<sst xmlns="http://schemas.openxmlformats.org/spreadsheetml/2006/main" count="174" uniqueCount="62">
  <si>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</si>
  <si>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</si>
  <si>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</si>
  <si>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</si>
  <si>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</si>
  <si>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</si>
  <si>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</si>
  <si>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</si>
  <si>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</si>
  <si>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</si>
  <si>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</si>
  <si>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</si>
  <si>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</si>
  <si>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</si>
  <si>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</si>
  <si>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</si>
  <si>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</si>
  <si>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</si>
  <si>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</si>
  <si>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</si>
  <si>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</si>
  <si>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</si>
  <si>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</si>
  <si>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</si>
  <si>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</si>
  <si>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</si>
  <si>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</si>
  <si>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</si>
  <si>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</si>
  <si>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</si>
  <si>
    <t>Revenue/Day (EUR)</t>
  </si>
  <si>
    <t>Mid</t>
  </si>
  <si>
    <t>Solar</t>
  </si>
  <si>
    <t>Revenue/Day</t>
  </si>
  <si>
    <t>Total Cost (EUR)</t>
  </si>
  <si>
    <t>Cost/Day (EUR)</t>
  </si>
  <si>
    <t>Total Profit (EUR)</t>
  </si>
  <si>
    <t>Profit/Day (EUR)</t>
  </si>
  <si>
    <t>Metric</t>
  </si>
  <si>
    <t>Per Day</t>
  </si>
  <si>
    <t>Energy Discharged (MWh)</t>
  </si>
  <si>
    <t>Energy Charged (MWh)</t>
  </si>
  <si>
    <t>Total system costs per day</t>
  </si>
  <si>
    <t>Net storage revenue/day</t>
  </si>
  <si>
    <t>Changes</t>
  </si>
  <si>
    <t>SOCIAL WELFARE</t>
  </si>
  <si>
    <t>Total (EUR)</t>
  </si>
  <si>
    <t>Per Day (EUR)</t>
  </si>
  <si>
    <t>Total Demand Value</t>
  </si>
  <si>
    <t>Total Generation Cost</t>
  </si>
  <si>
    <t>Social Welfare</t>
  </si>
  <si>
    <t xml:space="preserve"> </t>
  </si>
  <si>
    <t>Rolling</t>
  </si>
  <si>
    <t>Fixed</t>
  </si>
  <si>
    <t>Social welfare per day</t>
  </si>
  <si>
    <t>Net revenue/day</t>
  </si>
  <si>
    <t>GENERAL</t>
  </si>
  <si>
    <t>Total Wind Curtailed (MWh)</t>
  </si>
  <si>
    <t>Average Executed Price EUR/MWh</t>
  </si>
  <si>
    <t>Average Executed Price in EUR/MWh</t>
  </si>
  <si>
    <t>Total Losses (MWh)</t>
  </si>
  <si>
    <t>SOC End of Horizon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</si>
</sst>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9" fontId="0" fillId="0" borderId="0" xfId="2" applyFont="1"/>
    <xf numFmtId="10" fontId="0" fillId="0" borderId="0" xfId="2" applyNumberFormat="1" applyFont="1"/>
    <xf numFmtId="164" fontId="0" fillId="2" borderId="0" xfId="1" applyNumberFormat="1" applyFont="1" applyFill="1"/>
    <xf numFmtId="164" fontId="0" fillId="0" borderId="0" xfId="1" applyNumberFormat="1" applyFont="1" applyFill="1"/>
    <xf numFmtId="164" fontId="0" fillId="8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F65"/>
  <sheetViews>
    <sheetView tabSelected="1" topLeftCell="A31" zoomScale="70" zoomScaleNormal="70" workbookViewId="0">
      <selection activeCell="E45" sqref="E45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53125" style="8" customWidth="1"/>
    <col min="6" max="6" width="9.86328125" style="8" bestFit="1" customWidth="1"/>
  </cols>
  <sheetData>
    <row r="1" spans="1:6" x14ac:dyDescent="0.35">
      <c r="A1" t="s">
        <v>0</v>
      </c>
    </row>
    <row r="3" spans="1:6" x14ac:dyDescent="0.35">
      <c r="A3" s="6" t="s">
        <v>45</v>
      </c>
      <c r="B3" s="13"/>
      <c r="C3" s="13"/>
      <c r="E3" s="18" t="s">
        <v>56</v>
      </c>
      <c r="F3" s="18"/>
    </row>
    <row r="4" spans="1:6" x14ac:dyDescent="0.35">
      <c r="A4" t="s">
        <v>38</v>
      </c>
      <c r="B4" s="8" t="s">
        <v>46</v>
      </c>
      <c r="C4" s="8" t="s">
        <v>47</v>
      </c>
      <c r="E4" s="8" t="s">
        <v>58</v>
      </c>
      <c r="F4" s="8">
        <v>107.18387135880378</v>
      </c>
    </row>
    <row r="5" spans="1:6" x14ac:dyDescent="0.35">
      <c r="A5" t="s">
        <v>48</v>
      </c>
      <c r="B5" s="8">
        <v>2811060608.5570207</v>
      </c>
      <c r="C5" s="8">
        <v>93702020.285234019</v>
      </c>
      <c r="E5" s="8" t="s">
        <v>57</v>
      </c>
      <c r="F5" s="8">
        <v>5131.1081325939576</v>
      </c>
    </row>
    <row r="6" spans="1:6" x14ac:dyDescent="0.35">
      <c r="A6" t="s">
        <v>49</v>
      </c>
      <c r="B6" s="8">
        <v>357981885.43642163</v>
      </c>
      <c r="C6" s="8">
        <v>11932729.514547387</v>
      </c>
    </row>
    <row r="7" spans="1:6" x14ac:dyDescent="0.35">
      <c r="A7" t="s">
        <v>50</v>
      </c>
      <c r="B7" s="8">
        <v>2453078723.1205988</v>
      </c>
      <c r="C7" s="8">
        <v>81769290.770686626</v>
      </c>
    </row>
    <row r="9" spans="1:6" x14ac:dyDescent="0.35">
      <c r="A9" s="1" t="s">
        <v>27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30</v>
      </c>
    </row>
    <row r="11" spans="1:6" x14ac:dyDescent="0.35">
      <c r="A11" t="s">
        <v>5</v>
      </c>
      <c r="B11" s="8">
        <v>3974642.4791808259</v>
      </c>
      <c r="C11" s="8">
        <v>438738262.99496502</v>
      </c>
      <c r="D11" s="8">
        <v>110.38433401068792</v>
      </c>
      <c r="E11" s="8">
        <v>14624608.766498834</v>
      </c>
    </row>
    <row r="12" spans="1:6" x14ac:dyDescent="0.35">
      <c r="A12" t="s">
        <v>31</v>
      </c>
      <c r="B12" s="8">
        <v>1633606.6139242314</v>
      </c>
      <c r="C12" s="8">
        <v>235963382.02898377</v>
      </c>
      <c r="D12" s="8">
        <v>144.44320928779493</v>
      </c>
      <c r="E12" s="8">
        <v>7865446.0676327925</v>
      </c>
    </row>
    <row r="13" spans="1:6" x14ac:dyDescent="0.35">
      <c r="A13" t="s">
        <v>6</v>
      </c>
      <c r="B13" s="8">
        <v>720360.54631372157</v>
      </c>
      <c r="C13" s="8">
        <v>133887230.09520642</v>
      </c>
      <c r="D13" s="8">
        <v>185.86141451019679</v>
      </c>
      <c r="E13" s="8">
        <v>4462907.6698402138</v>
      </c>
    </row>
    <row r="14" spans="1:6" x14ac:dyDescent="0.35">
      <c r="A14" t="s">
        <v>32</v>
      </c>
      <c r="B14" s="8">
        <v>478312.56544999999</v>
      </c>
      <c r="C14" s="8">
        <v>36960712.327098578</v>
      </c>
      <c r="D14" s="8">
        <v>77.273136850012847</v>
      </c>
      <c r="E14" s="8">
        <v>1232023.7442366192</v>
      </c>
    </row>
    <row r="15" spans="1:6" x14ac:dyDescent="0.35">
      <c r="A15" t="s">
        <v>7</v>
      </c>
      <c r="B15" s="8">
        <v>2777690.5396174043</v>
      </c>
      <c r="C15" s="8">
        <v>181766311.98270452</v>
      </c>
      <c r="D15" s="8">
        <v>65.437927440160692</v>
      </c>
      <c r="E15" s="8">
        <v>6058877.0660901507</v>
      </c>
    </row>
    <row r="16" spans="1:6" x14ac:dyDescent="0.35">
      <c r="A16" t="s">
        <v>8</v>
      </c>
      <c r="B16" s="8">
        <v>9584612.7444861829</v>
      </c>
      <c r="C16" s="8">
        <v>1027315899.4289583</v>
      </c>
      <c r="E16" s="8">
        <v>34243863.314298607</v>
      </c>
    </row>
    <row r="18" spans="1:5" x14ac:dyDescent="0.35">
      <c r="A18" s="2" t="s">
        <v>28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33</v>
      </c>
    </row>
    <row r="20" spans="1:5" x14ac:dyDescent="0.35">
      <c r="A20" t="s">
        <v>5</v>
      </c>
      <c r="B20" s="8">
        <v>400801356.50816232</v>
      </c>
      <c r="C20" s="8">
        <v>4112642.4791808301</v>
      </c>
      <c r="D20" s="8">
        <v>5151727.2596285036</v>
      </c>
      <c r="E20" s="8">
        <v>13360045.216938743</v>
      </c>
    </row>
    <row r="21" spans="1:5" x14ac:dyDescent="0.35">
      <c r="A21" t="s">
        <v>31</v>
      </c>
      <c r="B21" s="8">
        <v>223672785.16884989</v>
      </c>
      <c r="C21" s="8">
        <v>1724029.7148849478</v>
      </c>
      <c r="D21" s="8">
        <v>3543811.9908752036</v>
      </c>
      <c r="E21" s="8">
        <v>7455759.5056283297</v>
      </c>
    </row>
    <row r="22" spans="1:5" x14ac:dyDescent="0.35">
      <c r="A22" t="s">
        <v>6</v>
      </c>
      <c r="B22" s="8">
        <v>128094529.96535829</v>
      </c>
      <c r="C22" s="8">
        <v>748790.27906552854</v>
      </c>
      <c r="D22" s="8">
        <v>3023935.5109494855</v>
      </c>
      <c r="E22" s="8">
        <v>4269817.6655119425</v>
      </c>
    </row>
    <row r="23" spans="1:5" x14ac:dyDescent="0.35">
      <c r="A23" t="s">
        <v>32</v>
      </c>
      <c r="B23" s="8">
        <v>33685352.455649443</v>
      </c>
      <c r="C23" s="8">
        <v>492550.38359999988</v>
      </c>
      <c r="D23" s="8">
        <v>492550.38359999988</v>
      </c>
      <c r="E23" s="8">
        <v>1122845.0818549814</v>
      </c>
    </row>
    <row r="24" spans="1:5" x14ac:dyDescent="0.35">
      <c r="A24" t="s">
        <v>7</v>
      </c>
      <c r="B24" s="8">
        <v>140926730.90681201</v>
      </c>
      <c r="C24" s="8">
        <v>2820339.5646088123</v>
      </c>
      <c r="D24" s="8">
        <v>7272508.648901742</v>
      </c>
      <c r="E24" s="8">
        <v>4697557.6968937339</v>
      </c>
    </row>
    <row r="25" spans="1:5" x14ac:dyDescent="0.35">
      <c r="A25" t="s">
        <v>12</v>
      </c>
      <c r="B25" s="8">
        <v>927180755.00483191</v>
      </c>
      <c r="E25" s="8">
        <v>30906025.166827731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34</v>
      </c>
      <c r="C28" s="8" t="s">
        <v>35</v>
      </c>
    </row>
    <row r="29" spans="1:5" x14ac:dyDescent="0.35">
      <c r="A29" t="s">
        <v>5</v>
      </c>
      <c r="B29" s="8">
        <v>119239274.37542497</v>
      </c>
      <c r="C29" s="8">
        <v>3974642.4791808324</v>
      </c>
    </row>
    <row r="30" spans="1:5" x14ac:dyDescent="0.35">
      <c r="A30" t="s">
        <v>31</v>
      </c>
      <c r="B30" s="8">
        <v>130688529.11393842</v>
      </c>
      <c r="C30" s="8">
        <v>4356284.3037979472</v>
      </c>
    </row>
    <row r="31" spans="1:5" x14ac:dyDescent="0.35">
      <c r="A31" t="s">
        <v>6</v>
      </c>
      <c r="B31" s="8">
        <v>108054081.94705828</v>
      </c>
      <c r="C31" s="8">
        <v>3601802.7315686094</v>
      </c>
    </row>
    <row r="32" spans="1:5" x14ac:dyDescent="0.35">
      <c r="A32" t="s">
        <v>32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357981885.43642163</v>
      </c>
      <c r="C34" s="8">
        <v>11932729.514547387</v>
      </c>
    </row>
    <row r="35" spans="1:3" x14ac:dyDescent="0.35">
      <c r="A35" t="s">
        <v>15</v>
      </c>
      <c r="B35" s="8">
        <v>513603.85284995928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36</v>
      </c>
      <c r="C38" s="8" t="s">
        <v>37</v>
      </c>
    </row>
    <row r="39" spans="1:3" x14ac:dyDescent="0.35">
      <c r="A39" t="s">
        <v>5</v>
      </c>
      <c r="B39" s="8">
        <v>281562082.13273734</v>
      </c>
      <c r="C39" s="8">
        <v>9385402.7377579119</v>
      </c>
    </row>
    <row r="40" spans="1:3" x14ac:dyDescent="0.35">
      <c r="A40" t="s">
        <v>31</v>
      </c>
      <c r="B40" s="8">
        <v>92984256.054911464</v>
      </c>
      <c r="C40" s="8">
        <v>3099475.201830382</v>
      </c>
    </row>
    <row r="41" spans="1:3" ht="12.4" customHeight="1" x14ac:dyDescent="0.35">
      <c r="A41" t="s">
        <v>6</v>
      </c>
      <c r="B41" s="8">
        <v>20040448.018300012</v>
      </c>
      <c r="C41" s="8">
        <v>668014.93394333369</v>
      </c>
    </row>
    <row r="42" spans="1:3" x14ac:dyDescent="0.35">
      <c r="A42" t="s">
        <v>32</v>
      </c>
      <c r="B42" s="8">
        <v>33685352.455649443</v>
      </c>
      <c r="C42" s="8">
        <v>1122845.0818549814</v>
      </c>
    </row>
    <row r="43" spans="1:3" x14ac:dyDescent="0.35">
      <c r="A43" t="s">
        <v>7</v>
      </c>
      <c r="B43" s="8">
        <v>140926730.90681201</v>
      </c>
      <c r="C43" s="8">
        <v>4697557.6968937339</v>
      </c>
    </row>
    <row r="44" spans="1:3" x14ac:dyDescent="0.35">
      <c r="A44" t="s">
        <v>17</v>
      </c>
      <c r="B44" s="8">
        <v>569198869.56841016</v>
      </c>
      <c r="C44" s="8">
        <v>18973295.652280342</v>
      </c>
    </row>
    <row r="46" spans="1:3" x14ac:dyDescent="0.35">
      <c r="A46" s="5" t="s">
        <v>18</v>
      </c>
      <c r="B46" s="12"/>
    </row>
    <row r="47" spans="1:3" x14ac:dyDescent="0.35">
      <c r="A47" t="s">
        <v>38</v>
      </c>
      <c r="B47" s="8" t="s">
        <v>8</v>
      </c>
      <c r="C47" s="8" t="s">
        <v>39</v>
      </c>
    </row>
    <row r="48" spans="1:3" x14ac:dyDescent="0.35">
      <c r="A48" t="s">
        <v>40</v>
      </c>
      <c r="B48" s="8">
        <v>194268.82932458926</v>
      </c>
      <c r="C48" s="8">
        <v>6475.6276441529753</v>
      </c>
    </row>
    <row r="49" spans="1:5" x14ac:dyDescent="0.35">
      <c r="A49" t="s">
        <v>41</v>
      </c>
      <c r="B49" s="8">
        <v>241989.47446439273</v>
      </c>
      <c r="C49" s="8">
        <v>8066.3158154797575</v>
      </c>
    </row>
    <row r="50" spans="1:5" x14ac:dyDescent="0.35">
      <c r="A50" t="s">
        <v>19</v>
      </c>
      <c r="B50" s="8">
        <v>151.19621348361395</v>
      </c>
      <c r="E50" s="8" t="s">
        <v>51</v>
      </c>
    </row>
    <row r="51" spans="1:5" x14ac:dyDescent="0.35">
      <c r="A51" t="s">
        <v>20</v>
      </c>
      <c r="B51" s="8">
        <v>79.578178966671175</v>
      </c>
    </row>
    <row r="52" spans="1:5" x14ac:dyDescent="0.35">
      <c r="A52" t="s">
        <v>21</v>
      </c>
      <c r="B52" s="8">
        <v>29372711.39177236</v>
      </c>
      <c r="C52" s="8">
        <v>979090.3797257453</v>
      </c>
    </row>
    <row r="53" spans="1:5" x14ac:dyDescent="0.35">
      <c r="A53" t="s">
        <v>22</v>
      </c>
      <c r="B53" s="8">
        <v>19257081.70697815</v>
      </c>
      <c r="C53" s="8">
        <v>641902.7235659383</v>
      </c>
    </row>
    <row r="54" spans="1:5" x14ac:dyDescent="0.35">
      <c r="A54" t="s">
        <v>23</v>
      </c>
      <c r="B54" s="8">
        <v>10115629.68479421</v>
      </c>
      <c r="C54" s="8">
        <v>337187.656159807</v>
      </c>
    </row>
    <row r="55" spans="1:5" x14ac:dyDescent="0.35">
      <c r="A55" t="s">
        <v>60</v>
      </c>
      <c r="B55" s="8">
        <v>45784.372926948912</v>
      </c>
      <c r="C55" s="8">
        <v>1526.1457642316304</v>
      </c>
    </row>
    <row r="56" spans="1:5" x14ac:dyDescent="0.35">
      <c r="A56" t="s">
        <v>61</v>
      </c>
      <c r="B56" s="8">
        <v>1936.2722128545593</v>
      </c>
    </row>
    <row r="58" spans="1:5" x14ac:dyDescent="0.35">
      <c r="A58" s="6" t="s">
        <v>29</v>
      </c>
      <c r="B58" s="13"/>
      <c r="C58" s="13"/>
      <c r="D58" s="13"/>
    </row>
    <row r="59" spans="1:5" x14ac:dyDescent="0.35">
      <c r="A59" t="s">
        <v>1</v>
      </c>
      <c r="B59" s="8" t="s">
        <v>24</v>
      </c>
      <c r="C59" s="8" t="s">
        <v>25</v>
      </c>
      <c r="D59" s="8" t="s">
        <v>26</v>
      </c>
    </row>
    <row r="60" spans="1:5" x14ac:dyDescent="0.35">
      <c r="A60" t="s">
        <v>5</v>
      </c>
      <c r="B60" s="8">
        <v>3974642.4791808259</v>
      </c>
      <c r="C60" s="8">
        <v>3974642.4791808259</v>
      </c>
      <c r="D60" s="8">
        <v>0</v>
      </c>
    </row>
    <row r="61" spans="1:5" x14ac:dyDescent="0.35">
      <c r="A61" t="s">
        <v>31</v>
      </c>
      <c r="B61" s="8">
        <v>1633606.6139242314</v>
      </c>
      <c r="C61" s="8">
        <v>1633606.6139242314</v>
      </c>
      <c r="D61" s="8">
        <v>4.5474735088646412E-13</v>
      </c>
    </row>
    <row r="62" spans="1:5" x14ac:dyDescent="0.35">
      <c r="A62" t="s">
        <v>6</v>
      </c>
      <c r="B62" s="8">
        <v>720360.54631372157</v>
      </c>
      <c r="C62" s="8">
        <v>720360.54631372157</v>
      </c>
      <c r="D62" s="8">
        <v>4.5474735088646412E-13</v>
      </c>
    </row>
    <row r="63" spans="1:5" x14ac:dyDescent="0.35">
      <c r="A63" t="s">
        <v>32</v>
      </c>
      <c r="B63" s="8">
        <v>478312.56544999999</v>
      </c>
      <c r="C63" s="8">
        <v>478312.56544999999</v>
      </c>
      <c r="D63" s="8">
        <v>0</v>
      </c>
    </row>
    <row r="64" spans="1:5" x14ac:dyDescent="0.35">
      <c r="A64" t="s">
        <v>7</v>
      </c>
      <c r="B64" s="8">
        <v>2777690.5396174043</v>
      </c>
      <c r="C64" s="8">
        <v>2777690.5396174043</v>
      </c>
      <c r="D64" s="8">
        <v>0</v>
      </c>
    </row>
    <row r="65" spans="1:3" x14ac:dyDescent="0.35">
      <c r="A65" t="s">
        <v>8</v>
      </c>
      <c r="C65" s="8">
        <f>SUM(C60:C64)</f>
        <v>9584612.7444861829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0484-F5CF-492E-9022-66F31340CCCF}">
  <dimension ref="A1:F65"/>
  <sheetViews>
    <sheetView topLeftCell="A23" zoomScale="71" zoomScaleNormal="85" workbookViewId="0">
      <selection activeCell="F44" sqref="F44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06640625" style="8" customWidth="1"/>
    <col min="6" max="6" width="9.86328125" style="8" bestFit="1" customWidth="1"/>
    <col min="11" max="11" width="10.6640625" bestFit="1" customWidth="1"/>
  </cols>
  <sheetData>
    <row r="1" spans="1:6" x14ac:dyDescent="0.35">
      <c r="A1" t="s">
        <v>0</v>
      </c>
    </row>
    <row r="3" spans="1:6" x14ac:dyDescent="0.35">
      <c r="A3" s="6" t="s">
        <v>45</v>
      </c>
      <c r="B3" s="13"/>
      <c r="C3" s="13"/>
      <c r="E3" s="18" t="s">
        <v>56</v>
      </c>
      <c r="F3" s="18"/>
    </row>
    <row r="4" spans="1:6" x14ac:dyDescent="0.35">
      <c r="A4" t="s">
        <v>38</v>
      </c>
      <c r="B4" s="8" t="s">
        <v>46</v>
      </c>
      <c r="C4" s="8" t="s">
        <v>47</v>
      </c>
      <c r="E4" s="8" t="s">
        <v>59</v>
      </c>
      <c r="F4" s="8">
        <v>109.44068339440538</v>
      </c>
    </row>
    <row r="5" spans="1:6" x14ac:dyDescent="0.35">
      <c r="A5" t="s">
        <v>48</v>
      </c>
      <c r="B5" s="8">
        <v>2811258631.9539056</v>
      </c>
      <c r="C5" s="8">
        <v>93708621.065130189</v>
      </c>
      <c r="E5" s="8" t="s">
        <v>57</v>
      </c>
      <c r="F5" s="8">
        <v>15130.4496253816</v>
      </c>
    </row>
    <row r="6" spans="1:6" x14ac:dyDescent="0.35">
      <c r="A6" t="s">
        <v>49</v>
      </c>
      <c r="B6" s="8">
        <v>359967997.883524</v>
      </c>
      <c r="C6" s="8">
        <v>11998933.262784133</v>
      </c>
    </row>
    <row r="7" spans="1:6" x14ac:dyDescent="0.35">
      <c r="A7" t="s">
        <v>50</v>
      </c>
      <c r="B7" s="8">
        <v>2451290634.0703816</v>
      </c>
      <c r="C7" s="8">
        <v>81709687.802346051</v>
      </c>
    </row>
    <row r="9" spans="1:6" x14ac:dyDescent="0.35">
      <c r="A9" s="1" t="s">
        <v>27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30</v>
      </c>
    </row>
    <row r="11" spans="1:6" x14ac:dyDescent="0.35">
      <c r="A11" t="s">
        <v>5</v>
      </c>
      <c r="B11" s="8">
        <v>3975223.6106515261</v>
      </c>
      <c r="C11" s="8">
        <v>447388210.71222073</v>
      </c>
      <c r="D11" s="8">
        <v>112.54416217328092</v>
      </c>
      <c r="E11" s="8">
        <v>14912940.357074024</v>
      </c>
    </row>
    <row r="12" spans="1:6" x14ac:dyDescent="0.35">
      <c r="A12" t="s">
        <v>31</v>
      </c>
      <c r="B12" s="8">
        <v>1634705.9184592848</v>
      </c>
      <c r="C12" s="8">
        <v>239295579.20617732</v>
      </c>
      <c r="D12" s="8">
        <v>146.38448206740091</v>
      </c>
      <c r="E12" s="8">
        <v>7976519.3068725774</v>
      </c>
    </row>
    <row r="13" spans="1:6" x14ac:dyDescent="0.35">
      <c r="A13" t="s">
        <v>6</v>
      </c>
      <c r="B13" s="8">
        <v>732898.7739149027</v>
      </c>
      <c r="C13" s="8">
        <v>138488149.42056879</v>
      </c>
      <c r="D13" s="8">
        <v>188.95945026734174</v>
      </c>
      <c r="E13" s="8">
        <v>4616271.6473522931</v>
      </c>
    </row>
    <row r="14" spans="1:6" x14ac:dyDescent="0.35">
      <c r="A14" t="s">
        <v>32</v>
      </c>
      <c r="B14" s="8">
        <v>478312.56544999999</v>
      </c>
      <c r="C14" s="8">
        <v>39041979.760479055</v>
      </c>
      <c r="D14" s="8">
        <v>81.624407512163245</v>
      </c>
      <c r="E14" s="8">
        <v>1301399.3253493018</v>
      </c>
    </row>
    <row r="15" spans="1:6" x14ac:dyDescent="0.35">
      <c r="A15" t="s">
        <v>7</v>
      </c>
      <c r="B15" s="8">
        <v>2767691.1981246169</v>
      </c>
      <c r="C15" s="8">
        <v>185194415.22348258</v>
      </c>
      <c r="D15" s="8">
        <v>66.912961731052235</v>
      </c>
      <c r="E15" s="8">
        <v>6173147.1741160862</v>
      </c>
    </row>
    <row r="16" spans="1:6" x14ac:dyDescent="0.35">
      <c r="A16" t="s">
        <v>8</v>
      </c>
      <c r="B16" s="8">
        <v>9588832.0666003302</v>
      </c>
      <c r="C16" s="8">
        <v>1049408334.3229285</v>
      </c>
      <c r="E16" s="8">
        <v>34980277.810764283</v>
      </c>
    </row>
    <row r="18" spans="1:5" x14ac:dyDescent="0.35">
      <c r="A18" s="2" t="s">
        <v>28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33</v>
      </c>
    </row>
    <row r="20" spans="1:5" x14ac:dyDescent="0.35">
      <c r="A20" t="s">
        <v>5</v>
      </c>
      <c r="B20" s="8">
        <v>452379607.22834575</v>
      </c>
      <c r="C20" s="8">
        <v>4113223.6106515257</v>
      </c>
      <c r="D20" s="8">
        <v>4661510.7483778223</v>
      </c>
      <c r="E20" s="8">
        <v>15079320.240944859</v>
      </c>
    </row>
    <row r="21" spans="1:5" x14ac:dyDescent="0.35">
      <c r="A21" t="s">
        <v>31</v>
      </c>
      <c r="B21" s="8">
        <v>246771741.03197482</v>
      </c>
      <c r="C21" s="8">
        <v>1724646.3557952398</v>
      </c>
      <c r="D21" s="8">
        <v>2615025.7866429016</v>
      </c>
      <c r="E21" s="8">
        <v>8225724.7010658272</v>
      </c>
    </row>
    <row r="22" spans="1:5" x14ac:dyDescent="0.35">
      <c r="A22" t="s">
        <v>6</v>
      </c>
      <c r="B22" s="8">
        <v>137966369.87963834</v>
      </c>
      <c r="C22" s="8">
        <v>760764.41212537326</v>
      </c>
      <c r="D22" s="8">
        <v>2073773.9403398721</v>
      </c>
      <c r="E22" s="8">
        <v>4598878.9959879452</v>
      </c>
    </row>
    <row r="23" spans="1:5" x14ac:dyDescent="0.35">
      <c r="A23" t="s">
        <v>32</v>
      </c>
      <c r="B23" s="8">
        <v>40147138.037544556</v>
      </c>
      <c r="C23" s="8">
        <v>492550.3836</v>
      </c>
      <c r="D23" s="8">
        <v>492550.3836</v>
      </c>
      <c r="E23" s="8">
        <v>1338237.9345848185</v>
      </c>
    </row>
    <row r="24" spans="1:5" x14ac:dyDescent="0.35">
      <c r="A24" t="s">
        <v>7</v>
      </c>
      <c r="B24" s="8">
        <v>171491152.3333112</v>
      </c>
      <c r="C24" s="8">
        <v>2812589.9173202403</v>
      </c>
      <c r="D24" s="8">
        <v>5203603.0745604774</v>
      </c>
      <c r="E24" s="8">
        <v>5716371.7444437062</v>
      </c>
    </row>
    <row r="25" spans="1:5" x14ac:dyDescent="0.35">
      <c r="A25" t="s">
        <v>12</v>
      </c>
      <c r="B25" s="8">
        <v>1048756008.5108147</v>
      </c>
      <c r="E25" s="8">
        <v>34958533.617027156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34</v>
      </c>
      <c r="C28" s="8" t="s">
        <v>35</v>
      </c>
    </row>
    <row r="29" spans="1:5" x14ac:dyDescent="0.35">
      <c r="A29" t="s">
        <v>5</v>
      </c>
      <c r="B29" s="8">
        <v>119256708.31954573</v>
      </c>
      <c r="C29" s="8">
        <v>3975223.6106515243</v>
      </c>
    </row>
    <row r="30" spans="1:5" x14ac:dyDescent="0.35">
      <c r="A30" t="s">
        <v>31</v>
      </c>
      <c r="B30" s="8">
        <v>130776473.47674279</v>
      </c>
      <c r="C30" s="8">
        <v>4359215.7825580928</v>
      </c>
    </row>
    <row r="31" spans="1:5" x14ac:dyDescent="0.35">
      <c r="A31" t="s">
        <v>6</v>
      </c>
      <c r="B31" s="8">
        <v>109934816.08723547</v>
      </c>
      <c r="C31" s="8">
        <v>3664493.8695745156</v>
      </c>
    </row>
    <row r="32" spans="1:5" x14ac:dyDescent="0.35">
      <c r="A32" t="s">
        <v>32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359967997.883524</v>
      </c>
      <c r="C34" s="8">
        <v>11998933.262784133</v>
      </c>
    </row>
    <row r="35" spans="1:3" x14ac:dyDescent="0.35">
      <c r="A35" t="s">
        <v>15</v>
      </c>
      <c r="B35" s="8">
        <v>516453.36855598853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36</v>
      </c>
      <c r="C38" s="8" t="s">
        <v>37</v>
      </c>
    </row>
    <row r="39" spans="1:3" x14ac:dyDescent="0.35">
      <c r="A39" t="s">
        <v>5</v>
      </c>
      <c r="B39" s="8">
        <v>333122898.90880001</v>
      </c>
      <c r="C39" s="8">
        <v>11104096.630293334</v>
      </c>
    </row>
    <row r="40" spans="1:3" x14ac:dyDescent="0.35">
      <c r="A40" t="s">
        <v>31</v>
      </c>
      <c r="B40" s="8">
        <v>115995267.55523203</v>
      </c>
      <c r="C40" s="8">
        <v>3866508.9185077343</v>
      </c>
    </row>
    <row r="41" spans="1:3" ht="12.4" customHeight="1" x14ac:dyDescent="0.35">
      <c r="A41" t="s">
        <v>6</v>
      </c>
      <c r="B41" s="8">
        <v>28031553.792402878</v>
      </c>
      <c r="C41" s="8">
        <v>934385.12641342927</v>
      </c>
    </row>
    <row r="42" spans="1:3" x14ac:dyDescent="0.35">
      <c r="A42" t="s">
        <v>32</v>
      </c>
      <c r="B42" s="8">
        <v>40147138.037544556</v>
      </c>
      <c r="C42" s="8">
        <v>1338237.9345848185</v>
      </c>
    </row>
    <row r="43" spans="1:3" x14ac:dyDescent="0.35">
      <c r="A43" t="s">
        <v>7</v>
      </c>
      <c r="B43" s="8">
        <v>171491152.3333112</v>
      </c>
      <c r="C43" s="8">
        <v>5716371.7444437062</v>
      </c>
    </row>
    <row r="44" spans="1:3" x14ac:dyDescent="0.35">
      <c r="A44" t="s">
        <v>17</v>
      </c>
      <c r="B44" s="8">
        <v>688788010.62729073</v>
      </c>
      <c r="C44" s="8">
        <v>22959600.354243021</v>
      </c>
    </row>
    <row r="46" spans="1:3" x14ac:dyDescent="0.35">
      <c r="A46" s="5" t="s">
        <v>18</v>
      </c>
      <c r="B46" s="12"/>
    </row>
    <row r="47" spans="1:3" x14ac:dyDescent="0.35">
      <c r="A47" t="s">
        <v>38</v>
      </c>
      <c r="B47" s="8" t="s">
        <v>8</v>
      </c>
      <c r="C47" s="8" t="s">
        <v>39</v>
      </c>
    </row>
    <row r="48" spans="1:3" x14ac:dyDescent="0.35">
      <c r="A48" t="s">
        <v>40</v>
      </c>
      <c r="B48" s="8">
        <v>200833.08239874837</v>
      </c>
      <c r="C48" s="8">
        <v>6694.4360799582792</v>
      </c>
    </row>
    <row r="49" spans="1:5" x14ac:dyDescent="0.35">
      <c r="A49" t="s">
        <v>41</v>
      </c>
      <c r="B49" s="8">
        <v>248601.76273549208</v>
      </c>
      <c r="C49" s="8">
        <v>8286.7254245164022</v>
      </c>
    </row>
    <row r="50" spans="1:5" x14ac:dyDescent="0.35">
      <c r="A50" t="s">
        <v>19</v>
      </c>
      <c r="B50" s="8">
        <v>151.25461735672505</v>
      </c>
      <c r="E50" s="8" t="s">
        <v>51</v>
      </c>
    </row>
    <row r="51" spans="1:5" x14ac:dyDescent="0.35">
      <c r="A51" t="s">
        <v>20</v>
      </c>
      <c r="B51" s="8">
        <v>82.707146935248772</v>
      </c>
    </row>
    <row r="52" spans="1:5" x14ac:dyDescent="0.35">
      <c r="A52" t="s">
        <v>21</v>
      </c>
      <c r="B52" s="8">
        <v>30376931.030794315</v>
      </c>
      <c r="C52" s="8">
        <v>1012564.3676931438</v>
      </c>
    </row>
    <row r="53" spans="1:5" x14ac:dyDescent="0.35">
      <c r="A53" t="s">
        <v>22</v>
      </c>
      <c r="B53" s="8">
        <v>20561142.518926196</v>
      </c>
      <c r="C53" s="8">
        <v>685371.41729753988</v>
      </c>
    </row>
    <row r="54" spans="1:5" x14ac:dyDescent="0.35">
      <c r="A54" t="s">
        <v>23</v>
      </c>
      <c r="B54" s="8">
        <v>9815788.5118681192</v>
      </c>
      <c r="C54" s="8">
        <v>327192.95039560396</v>
      </c>
    </row>
    <row r="55" spans="1:5" x14ac:dyDescent="0.35">
      <c r="A55" t="s">
        <v>60</v>
      </c>
      <c r="B55" s="8">
        <v>47768.68033674371</v>
      </c>
      <c r="C55" s="8">
        <v>1592.2893445581237</v>
      </c>
    </row>
    <row r="56" spans="1:5" x14ac:dyDescent="0.35">
      <c r="A56" t="s">
        <v>61</v>
      </c>
      <c r="B56" s="8">
        <v>0</v>
      </c>
    </row>
    <row r="58" spans="1:5" x14ac:dyDescent="0.35">
      <c r="A58" s="6" t="s">
        <v>29</v>
      </c>
      <c r="B58" s="13"/>
      <c r="C58" s="13"/>
      <c r="D58" s="13"/>
    </row>
    <row r="59" spans="1:5" x14ac:dyDescent="0.35">
      <c r="A59" t="s">
        <v>1</v>
      </c>
      <c r="B59" s="8" t="s">
        <v>24</v>
      </c>
      <c r="C59" s="8" t="s">
        <v>25</v>
      </c>
      <c r="D59" s="8" t="s">
        <v>26</v>
      </c>
    </row>
    <row r="60" spans="1:5" x14ac:dyDescent="0.35">
      <c r="A60" t="s">
        <v>5</v>
      </c>
      <c r="B60" s="8">
        <v>3975223.6106515261</v>
      </c>
      <c r="C60" s="8">
        <v>3975223.6106515261</v>
      </c>
      <c r="D60" s="8">
        <v>0</v>
      </c>
    </row>
    <row r="61" spans="1:5" x14ac:dyDescent="0.35">
      <c r="A61" t="s">
        <v>31</v>
      </c>
      <c r="B61" s="8">
        <v>1634705.9184592848</v>
      </c>
      <c r="C61" s="8">
        <v>1634705.9184592848</v>
      </c>
      <c r="D61" s="8">
        <v>2.8421709430404007E-14</v>
      </c>
    </row>
    <row r="62" spans="1:5" x14ac:dyDescent="0.35">
      <c r="A62" t="s">
        <v>6</v>
      </c>
      <c r="B62" s="8">
        <v>732898.7739149027</v>
      </c>
      <c r="C62" s="8">
        <v>732898.7739149027</v>
      </c>
      <c r="D62" s="8">
        <v>4.5474735088646412E-13</v>
      </c>
    </row>
    <row r="63" spans="1:5" x14ac:dyDescent="0.35">
      <c r="A63" t="s">
        <v>32</v>
      </c>
      <c r="B63" s="8">
        <v>478312.56544999999</v>
      </c>
      <c r="C63" s="8">
        <v>478312.56544999999</v>
      </c>
      <c r="D63" s="8">
        <v>0</v>
      </c>
    </row>
    <row r="64" spans="1:5" x14ac:dyDescent="0.35">
      <c r="A64" t="s">
        <v>7</v>
      </c>
      <c r="B64" s="8">
        <v>2767691.1981246169</v>
      </c>
      <c r="C64" s="8">
        <v>2767691.1981246169</v>
      </c>
      <c r="D64" s="8">
        <v>0</v>
      </c>
    </row>
    <row r="65" spans="1:3" x14ac:dyDescent="0.35">
      <c r="A65" t="s">
        <v>8</v>
      </c>
      <c r="C65" s="8">
        <f>SUM(C60:C64)</f>
        <v>9588832.0666003302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4AAD-BFA3-45E4-8DCE-8C7BF796E691}">
  <dimension ref="A1:D21"/>
  <sheetViews>
    <sheetView zoomScaleNormal="100" workbookViewId="0">
      <selection activeCell="F9" sqref="F9"/>
    </sheetView>
  </sheetViews>
  <sheetFormatPr defaultRowHeight="12.75" x14ac:dyDescent="0.35"/>
  <cols>
    <col min="1" max="1" width="23.265625" customWidth="1"/>
    <col min="2" max="2" width="13.46484375" bestFit="1" customWidth="1"/>
    <col min="3" max="3" width="12.3984375" bestFit="1" customWidth="1"/>
    <col min="4" max="4" width="13.9296875" bestFit="1" customWidth="1"/>
  </cols>
  <sheetData>
    <row r="1" spans="1:4" x14ac:dyDescent="0.35">
      <c r="B1" t="s">
        <v>52</v>
      </c>
      <c r="C1" t="s">
        <v>53</v>
      </c>
      <c r="D1" t="s">
        <v>44</v>
      </c>
    </row>
    <row r="2" spans="1:4" x14ac:dyDescent="0.35">
      <c r="A2" t="s">
        <v>42</v>
      </c>
      <c r="B2" s="8">
        <f>Rolling!C34</f>
        <v>11932729.514547387</v>
      </c>
      <c r="C2" s="8">
        <f>Fixed!C34</f>
        <v>11998933.262784133</v>
      </c>
      <c r="D2" s="15">
        <f>(C2-B2)/B2</f>
        <v>5.5480808607984884E-3</v>
      </c>
    </row>
    <row r="3" spans="1:4" x14ac:dyDescent="0.35">
      <c r="A3" t="s">
        <v>43</v>
      </c>
      <c r="B3" s="8">
        <f>Rolling!C54</f>
        <v>337187.656159807</v>
      </c>
      <c r="C3" s="8">
        <f>Fixed!C54</f>
        <v>327192.95039560396</v>
      </c>
      <c r="D3" s="14">
        <f>(C3-B3)/B3</f>
        <v>-2.9641375007708297E-2</v>
      </c>
    </row>
    <row r="4" spans="1:4" x14ac:dyDescent="0.35">
      <c r="A4" t="s">
        <v>54</v>
      </c>
      <c r="B4" s="8">
        <f>Rolling!C7</f>
        <v>81769290.770686626</v>
      </c>
      <c r="C4" s="8">
        <f>Fixed!C7</f>
        <v>81709687.802346051</v>
      </c>
      <c r="D4" s="15">
        <f t="shared" ref="D4" si="0">(C4-B4)/B4</f>
        <v>-7.2891629337627436E-4</v>
      </c>
    </row>
    <row r="5" spans="1:4" x14ac:dyDescent="0.35">
      <c r="A5" t="s">
        <v>55</v>
      </c>
      <c r="B5" s="8"/>
      <c r="C5" s="8"/>
      <c r="D5" s="14"/>
    </row>
    <row r="6" spans="1:4" x14ac:dyDescent="0.35">
      <c r="A6" s="7" t="s">
        <v>5</v>
      </c>
      <c r="B6" s="8">
        <f>Rolling!E20</f>
        <v>13360045.216938743</v>
      </c>
      <c r="C6" s="8">
        <f>Fixed!E20</f>
        <v>15079320.240944859</v>
      </c>
      <c r="D6" s="14">
        <f>(C6-B6)/B6</f>
        <v>0.12868781475576935</v>
      </c>
    </row>
    <row r="7" spans="1:4" x14ac:dyDescent="0.35">
      <c r="A7" s="7" t="s">
        <v>31</v>
      </c>
      <c r="B7" s="8">
        <f>Rolling!E21</f>
        <v>7455759.5056283297</v>
      </c>
      <c r="C7" s="8">
        <f>Fixed!E21</f>
        <v>8225724.7010658272</v>
      </c>
      <c r="D7" s="14">
        <f>(C7-B7)/B7</f>
        <v>0.10327119522246568</v>
      </c>
    </row>
    <row r="8" spans="1:4" x14ac:dyDescent="0.35">
      <c r="A8" s="7" t="s">
        <v>6</v>
      </c>
      <c r="B8" s="8">
        <f>Rolling!E22</f>
        <v>4269817.6655119425</v>
      </c>
      <c r="C8" s="8">
        <f>Fixed!E22</f>
        <v>4598878.9959879452</v>
      </c>
      <c r="D8" s="14">
        <f>(C8-B8)/B8</f>
        <v>7.7066834289878039E-2</v>
      </c>
    </row>
    <row r="9" spans="1:4" x14ac:dyDescent="0.35">
      <c r="A9" s="7" t="s">
        <v>32</v>
      </c>
      <c r="B9" s="8">
        <f>Rolling!E23</f>
        <v>1122845.0818549814</v>
      </c>
      <c r="C9" s="8">
        <f>Fixed!E23</f>
        <v>1338237.9345848185</v>
      </c>
      <c r="D9" s="14">
        <f>(C9-B9)/B9</f>
        <v>0.1918277563045476</v>
      </c>
    </row>
    <row r="10" spans="1:4" x14ac:dyDescent="0.35">
      <c r="A10" s="7" t="s">
        <v>7</v>
      </c>
      <c r="B10" s="8">
        <f>Rolling!E24</f>
        <v>4697557.6968937339</v>
      </c>
      <c r="C10" s="8">
        <f>Fixed!E24</f>
        <v>5716371.7444437062</v>
      </c>
      <c r="D10" s="14">
        <f>(C10-B10)/B10</f>
        <v>0.21688164644016281</v>
      </c>
    </row>
    <row r="17" spans="2:4" x14ac:dyDescent="0.35">
      <c r="B17" s="17"/>
      <c r="C17" s="17"/>
      <c r="D17" s="17"/>
    </row>
    <row r="18" spans="2:4" x14ac:dyDescent="0.35">
      <c r="B18" s="8"/>
      <c r="C18" s="8"/>
      <c r="D18" s="8"/>
    </row>
    <row r="19" spans="2:4" x14ac:dyDescent="0.35">
      <c r="B19" s="8"/>
      <c r="C19" s="8"/>
      <c r="D19" s="8"/>
    </row>
    <row r="20" spans="2:4" x14ac:dyDescent="0.35">
      <c r="B20" s="8"/>
      <c r="C20" s="8"/>
      <c r="D20" s="8"/>
    </row>
    <row r="21" spans="2:4" x14ac:dyDescent="0.35">
      <c r="B21" s="8"/>
      <c r="C21" s="8"/>
      <c r="D21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Rolling</vt:lpstr>
      <vt:lpstr>Fixed</vt:lpstr>
      <vt:lpstr>Comparison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2026-03-19T12:35:17Z</dcterms:modified>
</cp:coreProperties>
</file>