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Thesis/Code/"/>
    </mc:Choice>
  </mc:AlternateContent>
  <xr:revisionPtr revIDLastSave="706" documentId="8_{BA558C3F-E59C-4F04-9D2E-8441DAA40C29}" xr6:coauthVersionLast="47" xr6:coauthVersionMax="47" xr10:uidLastSave="{8E74679F-8ABB-4403-8D0B-6A2826A939DB}"/>
  <bookViews>
    <workbookView xWindow="-98" yWindow="-98" windowWidth="19396" windowHeight="11475" activeTab="1" xr2:uid="{4AE1EDD8-8ACF-4AF9-86A6-B0088C54F040}"/>
  </bookViews>
  <sheets>
    <sheet name="Rolling" sheetId="1" r:id="rId1"/>
    <sheet name="Fixed" sheetId="8" r:id="rId2"/>
    <sheet name="Comparis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C9" i="7"/>
  <c r="C8" i="7"/>
  <c r="C7" i="7"/>
  <c r="C6" i="7"/>
  <c r="B10" i="7"/>
  <c r="B9" i="7"/>
  <c r="B8" i="7"/>
  <c r="B7" i="7"/>
  <c r="B6" i="7"/>
  <c r="D4" i="7"/>
  <c r="C4" i="7"/>
  <c r="B4" i="7"/>
  <c r="C3" i="7"/>
  <c r="C2" i="7"/>
  <c r="B2" i="7"/>
  <c r="C65" i="1" l="1"/>
  <c r="C65" i="8"/>
  <c r="B3" i="7"/>
  <c r="D9" i="7" l="1"/>
  <c r="D7" i="7"/>
  <c r="D6" i="7"/>
  <c r="D3" i="7"/>
  <c r="D2" i="7"/>
  <c r="D10" i="7"/>
  <c r="D8" i="7"/>
</calcChain>
</file>

<file path=xl/sharedStrings.xml><?xml version="1.0" encoding="utf-8"?>
<sst xmlns="http://schemas.openxmlformats.org/spreadsheetml/2006/main" count="174" uniqueCount="61">
  <si>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</si>
  <si>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</si>
  <si>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</si>
  <si>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</si>
  <si>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</si>
  <si>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</si>
  <si>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</si>
  <si>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</si>
  <si>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</si>
  <si>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</si>
  <si>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</si>
  <si>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</si>
  <si>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</si>
  <si>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</si>
  <si>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</si>
  <si>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</si>
  <si>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</si>
  <si>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</si>
  <si>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</si>
  <si>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</si>
  <si>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</si>
  <si>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</si>
  <si>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</si>
  <si>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</si>
  <si>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Average per Clearing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</si>
  <si>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</si>
  <si>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</si>
  <si>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</si>
  <si>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</si>
  <si>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</si>
  <si>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</si>
  <si>
    <t>Revenue/Day (EUR)</t>
  </si>
  <si>
    <t>Mid</t>
  </si>
  <si>
    <t>Solar</t>
  </si>
  <si>
    <t>Revenue/Day</t>
  </si>
  <si>
    <t>Total Cost (EUR)</t>
  </si>
  <si>
    <t>Cost/Day (EUR)</t>
  </si>
  <si>
    <t>Total Profit (EUR)</t>
  </si>
  <si>
    <t>Profit/Day (EUR)</t>
  </si>
  <si>
    <t>Metric</t>
  </si>
  <si>
    <t>Per Day</t>
  </si>
  <si>
    <t>Energy Discharged (MWh)</t>
  </si>
  <si>
    <t>Energy Charged (MWh)</t>
  </si>
  <si>
    <t>Total system costs per day</t>
  </si>
  <si>
    <t>Net storage revenue/day</t>
  </si>
  <si>
    <t>Changes</t>
  </si>
  <si>
    <t>SOCIAL WELFARE</t>
  </si>
  <si>
    <t>Total (EUR)</t>
  </si>
  <si>
    <t>Per Day (EUR)</t>
  </si>
  <si>
    <t>Total Demand Value</t>
  </si>
  <si>
    <t>Total Generation Cost</t>
  </si>
  <si>
    <t>Social Welfare</t>
  </si>
  <si>
    <t xml:space="preserve"> </t>
  </si>
  <si>
    <t>Rolling</t>
  </si>
  <si>
    <t>Fixed</t>
  </si>
  <si>
    <t>Social welfare per day</t>
  </si>
  <si>
    <t>Net revenue/day</t>
  </si>
  <si>
    <t>GENERAL</t>
  </si>
  <si>
    <t>Total Clearings</t>
  </si>
  <si>
    <t>Total Wind Curtailed (MWh)</t>
  </si>
  <si>
    <t>Average Executed Price EUR/MWh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</si>
</sst>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9" fontId="0" fillId="0" borderId="0" xfId="2" applyFont="1"/>
    <xf numFmtId="10" fontId="0" fillId="0" borderId="0" xfId="2" applyNumberFormat="1" applyFont="1"/>
    <xf numFmtId="164" fontId="0" fillId="2" borderId="0" xfId="1" applyNumberFormat="1" applyFont="1" applyFill="1"/>
    <xf numFmtId="0" fontId="0" fillId="0" borderId="0" xfId="0" applyAlignment="1"/>
    <xf numFmtId="0" fontId="0" fillId="0" borderId="0" xfId="0" applyFill="1"/>
    <xf numFmtId="164" fontId="0" fillId="0" borderId="0" xfId="1" applyNumberFormat="1" applyFont="1" applyFill="1"/>
    <xf numFmtId="164" fontId="0" fillId="8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F65"/>
  <sheetViews>
    <sheetView zoomScale="85" zoomScaleNormal="85" workbookViewId="0">
      <selection activeCell="B1" sqref="B1:F1048576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53125" style="8" customWidth="1"/>
    <col min="6" max="6" width="9.86328125" style="8" bestFit="1" customWidth="1"/>
  </cols>
  <sheetData>
    <row r="1" spans="1:6" x14ac:dyDescent="0.35">
      <c r="A1" t="s">
        <v>0</v>
      </c>
    </row>
    <row r="3" spans="1:6" x14ac:dyDescent="0.35">
      <c r="A3" s="6" t="s">
        <v>46</v>
      </c>
      <c r="B3" s="13"/>
      <c r="C3" s="13"/>
      <c r="E3" s="20" t="s">
        <v>57</v>
      </c>
    </row>
    <row r="4" spans="1:6" x14ac:dyDescent="0.35">
      <c r="A4" t="s">
        <v>39</v>
      </c>
      <c r="B4" s="8" t="s">
        <v>47</v>
      </c>
      <c r="C4" s="8" t="s">
        <v>48</v>
      </c>
      <c r="E4" s="8" t="s">
        <v>60</v>
      </c>
      <c r="F4" s="8">
        <v>104.49084503296797</v>
      </c>
    </row>
    <row r="5" spans="1:6" x14ac:dyDescent="0.35">
      <c r="A5" t="s">
        <v>49</v>
      </c>
      <c r="B5" s="8">
        <v>2811160221.5762014</v>
      </c>
      <c r="C5" s="8">
        <v>93705340.719206721</v>
      </c>
      <c r="E5" s="8" t="s">
        <v>59</v>
      </c>
      <c r="F5" s="8">
        <v>4222.2024549976586</v>
      </c>
    </row>
    <row r="6" spans="1:6" x14ac:dyDescent="0.35">
      <c r="A6" t="s">
        <v>50</v>
      </c>
      <c r="B6" s="8">
        <v>357950918.9934091</v>
      </c>
      <c r="C6" s="8">
        <v>11931697.299780304</v>
      </c>
      <c r="E6" s="8" t="s">
        <v>58</v>
      </c>
      <c r="F6" s="8">
        <v>697</v>
      </c>
    </row>
    <row r="7" spans="1:6" x14ac:dyDescent="0.35">
      <c r="A7" t="s">
        <v>51</v>
      </c>
      <c r="B7" s="8">
        <v>2453209302.5827923</v>
      </c>
      <c r="C7" s="8">
        <v>81773643.419426411</v>
      </c>
    </row>
    <row r="9" spans="1:6" x14ac:dyDescent="0.35">
      <c r="A9" s="1" t="s">
        <v>28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31</v>
      </c>
    </row>
    <row r="11" spans="1:6" x14ac:dyDescent="0.35">
      <c r="A11" t="s">
        <v>5</v>
      </c>
      <c r="B11" s="8">
        <v>3976592.9961730777</v>
      </c>
      <c r="C11" s="8">
        <v>442297897.80660892</v>
      </c>
      <c r="D11" s="8">
        <v>111.22533742634955</v>
      </c>
      <c r="E11" s="8">
        <v>14743263.260220297</v>
      </c>
    </row>
    <row r="12" spans="1:6" x14ac:dyDescent="0.35">
      <c r="A12" t="s">
        <v>32</v>
      </c>
      <c r="B12" s="8">
        <v>1632770.5396914575</v>
      </c>
      <c r="C12" s="8">
        <v>237474171.3908346</v>
      </c>
      <c r="D12" s="8">
        <v>145.44246458275134</v>
      </c>
      <c r="E12" s="8">
        <v>7915805.71302782</v>
      </c>
    </row>
    <row r="13" spans="1:6" x14ac:dyDescent="0.35">
      <c r="A13" t="s">
        <v>6</v>
      </c>
      <c r="B13" s="8">
        <v>720209.90621933318</v>
      </c>
      <c r="C13" s="8">
        <v>135809078.52549264</v>
      </c>
      <c r="D13" s="8">
        <v>188.56874551810628</v>
      </c>
      <c r="E13" s="8">
        <v>4526969.2841830878</v>
      </c>
    </row>
    <row r="14" spans="1:6" x14ac:dyDescent="0.35">
      <c r="A14" t="s">
        <v>33</v>
      </c>
      <c r="B14" s="8">
        <v>478312.56544999999</v>
      </c>
      <c r="C14" s="8">
        <v>36895373.778354779</v>
      </c>
      <c r="D14" s="8">
        <v>77.136534649980064</v>
      </c>
      <c r="E14" s="8">
        <v>1229845.792611826</v>
      </c>
    </row>
    <row r="15" spans="1:6" x14ac:dyDescent="0.35">
      <c r="A15" t="s">
        <v>7</v>
      </c>
      <c r="B15" s="8">
        <v>2778599.4452950014</v>
      </c>
      <c r="C15" s="8">
        <v>182041252.54228368</v>
      </c>
      <c r="D15" s="8">
        <v>65.515471418715606</v>
      </c>
      <c r="E15" s="8">
        <v>6068041.7514094561</v>
      </c>
    </row>
    <row r="16" spans="1:6" x14ac:dyDescent="0.35">
      <c r="A16" t="s">
        <v>8</v>
      </c>
      <c r="B16" s="8">
        <v>9586485.4528288692</v>
      </c>
      <c r="C16" s="8">
        <v>1034517774.0435746</v>
      </c>
      <c r="E16" s="8">
        <v>34483925.801452488</v>
      </c>
    </row>
    <row r="18" spans="1:5" x14ac:dyDescent="0.35">
      <c r="A18" s="2" t="s">
        <v>29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34</v>
      </c>
    </row>
    <row r="20" spans="1:5" x14ac:dyDescent="0.35">
      <c r="A20" t="s">
        <v>5</v>
      </c>
      <c r="B20" s="8">
        <v>403536883.9052363</v>
      </c>
      <c r="C20" s="8">
        <v>4114592.9961730777</v>
      </c>
      <c r="D20" s="8">
        <v>5181056.8067083312</v>
      </c>
      <c r="E20" s="8">
        <v>13451229.463507878</v>
      </c>
    </row>
    <row r="21" spans="1:5" x14ac:dyDescent="0.35">
      <c r="A21" t="s">
        <v>32</v>
      </c>
      <c r="B21" s="8">
        <v>224564423.5838353</v>
      </c>
      <c r="C21" s="8">
        <v>1723185.9766594435</v>
      </c>
      <c r="D21" s="8">
        <v>3382390.3928071181</v>
      </c>
      <c r="E21" s="8">
        <v>7485480.7861278439</v>
      </c>
    </row>
    <row r="22" spans="1:5" x14ac:dyDescent="0.35">
      <c r="A22" t="s">
        <v>6</v>
      </c>
      <c r="B22" s="8">
        <v>127090119.85043547</v>
      </c>
      <c r="C22" s="8">
        <v>747773.6713427275</v>
      </c>
      <c r="D22" s="8">
        <v>3043726.9536793614</v>
      </c>
      <c r="E22" s="8">
        <v>4236337.3283478487</v>
      </c>
    </row>
    <row r="23" spans="1:5" x14ac:dyDescent="0.35">
      <c r="A23" t="s">
        <v>33</v>
      </c>
      <c r="B23" s="8">
        <v>34067667.702216275</v>
      </c>
      <c r="C23" s="8">
        <v>492550.38359999988</v>
      </c>
      <c r="D23" s="8">
        <v>492550.38359999988</v>
      </c>
      <c r="E23" s="8">
        <v>1135588.9234072091</v>
      </c>
    </row>
    <row r="24" spans="1:5" x14ac:dyDescent="0.35">
      <c r="A24" t="s">
        <v>7</v>
      </c>
      <c r="B24" s="8">
        <v>144926511.05049407</v>
      </c>
      <c r="C24" s="8">
        <v>2821280.3455793196</v>
      </c>
      <c r="D24" s="8">
        <v>7230080.1686450392</v>
      </c>
      <c r="E24" s="8">
        <v>4830883.7016831357</v>
      </c>
    </row>
    <row r="25" spans="1:5" x14ac:dyDescent="0.35">
      <c r="A25" t="s">
        <v>12</v>
      </c>
      <c r="B25" s="8">
        <v>934185606.09221745</v>
      </c>
      <c r="E25" s="8">
        <v>31139520.203073915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35</v>
      </c>
      <c r="C28" s="8" t="s">
        <v>36</v>
      </c>
    </row>
    <row r="29" spans="1:5" x14ac:dyDescent="0.35">
      <c r="A29" t="s">
        <v>5</v>
      </c>
      <c r="B29" s="8">
        <v>119297789.8851923</v>
      </c>
      <c r="C29" s="8">
        <v>3976592.9961730768</v>
      </c>
    </row>
    <row r="30" spans="1:5" x14ac:dyDescent="0.35">
      <c r="A30" t="s">
        <v>32</v>
      </c>
      <c r="B30" s="8">
        <v>130621643.17531675</v>
      </c>
      <c r="C30" s="8">
        <v>4354054.7725105584</v>
      </c>
    </row>
    <row r="31" spans="1:5" x14ac:dyDescent="0.35">
      <c r="A31" t="s">
        <v>6</v>
      </c>
      <c r="B31" s="8">
        <v>108031485.93290004</v>
      </c>
      <c r="C31" s="8">
        <v>3601049.531096668</v>
      </c>
    </row>
    <row r="32" spans="1:5" x14ac:dyDescent="0.35">
      <c r="A32" t="s">
        <v>33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357950918.9934091</v>
      </c>
      <c r="C34" s="8">
        <v>11931697.299780304</v>
      </c>
    </row>
    <row r="35" spans="1:3" x14ac:dyDescent="0.35">
      <c r="A35" t="s">
        <v>15</v>
      </c>
      <c r="B35" s="8">
        <v>513559.42466773186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37</v>
      </c>
      <c r="C38" s="8" t="s">
        <v>38</v>
      </c>
    </row>
    <row r="39" spans="1:3" x14ac:dyDescent="0.35">
      <c r="A39" t="s">
        <v>5</v>
      </c>
      <c r="B39" s="8">
        <v>284239094.02004397</v>
      </c>
      <c r="C39" s="8">
        <v>9474636.4673347995</v>
      </c>
    </row>
    <row r="40" spans="1:3" x14ac:dyDescent="0.35">
      <c r="A40" t="s">
        <v>32</v>
      </c>
      <c r="B40" s="8">
        <v>93942780.408518553</v>
      </c>
      <c r="C40" s="8">
        <v>3131426.0136172851</v>
      </c>
    </row>
    <row r="41" spans="1:3" ht="12.4" customHeight="1" x14ac:dyDescent="0.35">
      <c r="A41" t="s">
        <v>6</v>
      </c>
      <c r="B41" s="8">
        <v>19058633.917535424</v>
      </c>
      <c r="C41" s="8">
        <v>635287.79725118086</v>
      </c>
    </row>
    <row r="42" spans="1:3" x14ac:dyDescent="0.35">
      <c r="A42" t="s">
        <v>33</v>
      </c>
      <c r="B42" s="8">
        <v>34067667.702216275</v>
      </c>
      <c r="C42" s="8">
        <v>1135588.9234072091</v>
      </c>
    </row>
    <row r="43" spans="1:3" x14ac:dyDescent="0.35">
      <c r="A43" t="s">
        <v>7</v>
      </c>
      <c r="B43" s="8">
        <v>144926511.05049407</v>
      </c>
      <c r="C43" s="8">
        <v>4830883.7016831357</v>
      </c>
    </row>
    <row r="44" spans="1:3" x14ac:dyDescent="0.35">
      <c r="A44" t="s">
        <v>17</v>
      </c>
      <c r="B44" s="8">
        <v>576234687.09880829</v>
      </c>
      <c r="C44" s="8">
        <v>19207822.90329361</v>
      </c>
    </row>
    <row r="46" spans="1:3" x14ac:dyDescent="0.35">
      <c r="A46" s="5" t="s">
        <v>18</v>
      </c>
      <c r="B46" s="12"/>
    </row>
    <row r="47" spans="1:3" x14ac:dyDescent="0.35">
      <c r="A47" t="s">
        <v>39</v>
      </c>
      <c r="B47" s="8" t="s">
        <v>8</v>
      </c>
      <c r="C47" s="8" t="s">
        <v>40</v>
      </c>
    </row>
    <row r="48" spans="1:3" x14ac:dyDescent="0.35">
      <c r="A48" t="s">
        <v>41</v>
      </c>
      <c r="B48" s="8">
        <v>194520.77675792595</v>
      </c>
      <c r="C48" s="8">
        <v>6484.0258919308653</v>
      </c>
    </row>
    <row r="49" spans="1:5" x14ac:dyDescent="0.35">
      <c r="A49" t="s">
        <v>42</v>
      </c>
      <c r="B49" s="8">
        <v>241919.48521619037</v>
      </c>
      <c r="C49" s="8">
        <v>8063.9828405396793</v>
      </c>
    </row>
    <row r="50" spans="1:5" x14ac:dyDescent="0.35">
      <c r="A50" t="s">
        <v>19</v>
      </c>
      <c r="B50" s="8">
        <v>151.89639991584008</v>
      </c>
      <c r="E50" s="8" t="s">
        <v>52</v>
      </c>
    </row>
    <row r="51" spans="1:5" x14ac:dyDescent="0.35">
      <c r="A51" t="s">
        <v>20</v>
      </c>
      <c r="B51" s="8">
        <v>79.489165761317111</v>
      </c>
    </row>
    <row r="52" spans="1:5" x14ac:dyDescent="0.35">
      <c r="A52" t="s">
        <v>21</v>
      </c>
      <c r="B52" s="8">
        <v>29547005.698361769</v>
      </c>
      <c r="C52" s="8">
        <v>984900.18994539231</v>
      </c>
    </row>
    <row r="53" spans="1:5" x14ac:dyDescent="0.35">
      <c r="A53" t="s">
        <v>22</v>
      </c>
      <c r="B53" s="8">
        <v>19229978.06124226</v>
      </c>
      <c r="C53" s="8">
        <v>640999.26870807528</v>
      </c>
    </row>
    <row r="54" spans="1:5" x14ac:dyDescent="0.35">
      <c r="A54" t="s">
        <v>23</v>
      </c>
      <c r="B54" s="8">
        <v>10317027.637119509</v>
      </c>
      <c r="C54" s="8">
        <v>343900.92123731697</v>
      </c>
    </row>
    <row r="55" spans="1:5" x14ac:dyDescent="0.35">
      <c r="A55" t="s">
        <v>24</v>
      </c>
      <c r="B55" s="8">
        <v>14802.048259855825</v>
      </c>
    </row>
    <row r="58" spans="1:5" x14ac:dyDescent="0.35">
      <c r="A58" s="6" t="s">
        <v>30</v>
      </c>
      <c r="B58" s="13"/>
      <c r="C58" s="13"/>
      <c r="D58" s="13"/>
    </row>
    <row r="59" spans="1:5" x14ac:dyDescent="0.35">
      <c r="A59" t="s">
        <v>1</v>
      </c>
      <c r="B59" s="8" t="s">
        <v>25</v>
      </c>
      <c r="C59" s="8" t="s">
        <v>26</v>
      </c>
      <c r="D59" s="8" t="s">
        <v>27</v>
      </c>
    </row>
    <row r="60" spans="1:5" x14ac:dyDescent="0.35">
      <c r="A60" t="s">
        <v>5</v>
      </c>
      <c r="B60" s="8">
        <v>3976592.9961730777</v>
      </c>
      <c r="C60" s="8">
        <v>3976592.9961730777</v>
      </c>
      <c r="D60" s="8">
        <v>0</v>
      </c>
    </row>
    <row r="61" spans="1:5" x14ac:dyDescent="0.35">
      <c r="A61" t="s">
        <v>32</v>
      </c>
      <c r="B61" s="8">
        <v>1632770.5396914575</v>
      </c>
      <c r="C61" s="8">
        <v>1632770.5396914575</v>
      </c>
      <c r="D61" s="8">
        <v>0</v>
      </c>
    </row>
    <row r="62" spans="1:5" x14ac:dyDescent="0.35">
      <c r="A62" t="s">
        <v>6</v>
      </c>
      <c r="B62" s="8">
        <v>720209.90621933318</v>
      </c>
      <c r="C62" s="8">
        <v>720209.90621933318</v>
      </c>
      <c r="D62" s="8">
        <v>5.1159076974727213E-13</v>
      </c>
    </row>
    <row r="63" spans="1:5" x14ac:dyDescent="0.35">
      <c r="A63" t="s">
        <v>33</v>
      </c>
      <c r="B63" s="8">
        <v>478312.56544999999</v>
      </c>
      <c r="C63" s="8">
        <v>478312.56544999999</v>
      </c>
      <c r="D63" s="8">
        <v>0</v>
      </c>
    </row>
    <row r="64" spans="1:5" x14ac:dyDescent="0.35">
      <c r="A64" t="s">
        <v>7</v>
      </c>
      <c r="B64" s="8">
        <v>2778599.4452950014</v>
      </c>
      <c r="C64" s="8">
        <v>2778599.4452950014</v>
      </c>
      <c r="D64" s="8">
        <v>0</v>
      </c>
    </row>
    <row r="65" spans="1:3" x14ac:dyDescent="0.35">
      <c r="A65" t="s">
        <v>8</v>
      </c>
      <c r="C65" s="8">
        <f>SUM(C60:C64)</f>
        <v>9586485.4528288692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0484-F5CF-492E-9022-66F31340CCCF}">
  <dimension ref="A1:F65"/>
  <sheetViews>
    <sheetView tabSelected="1" zoomScale="85" zoomScaleNormal="85" workbookViewId="0">
      <selection activeCell="I5" sqref="I5"/>
    </sheetView>
  </sheetViews>
  <sheetFormatPr defaultRowHeight="12.75" x14ac:dyDescent="0.35"/>
  <cols>
    <col min="1" max="1" width="25.73046875" customWidth="1"/>
    <col min="2" max="3" width="16.06640625" style="8" bestFit="1" customWidth="1"/>
    <col min="4" max="4" width="13.53125" style="8" bestFit="1" customWidth="1"/>
    <col min="5" max="5" width="23.06640625" style="8" customWidth="1"/>
    <col min="6" max="6" width="9.86328125" style="8" bestFit="1" customWidth="1"/>
    <col min="11" max="11" width="10.6640625" bestFit="1" customWidth="1"/>
  </cols>
  <sheetData>
    <row r="1" spans="1:6" x14ac:dyDescent="0.35">
      <c r="A1" t="s">
        <v>0</v>
      </c>
    </row>
    <row r="3" spans="1:6" x14ac:dyDescent="0.35">
      <c r="A3" s="6" t="s">
        <v>46</v>
      </c>
      <c r="B3" s="13"/>
      <c r="C3" s="13"/>
      <c r="E3" s="20" t="s">
        <v>57</v>
      </c>
    </row>
    <row r="4" spans="1:6" x14ac:dyDescent="0.35">
      <c r="A4" t="s">
        <v>39</v>
      </c>
      <c r="B4" s="8" t="s">
        <v>47</v>
      </c>
      <c r="C4" s="8" t="s">
        <v>48</v>
      </c>
      <c r="E4" s="8" t="s">
        <v>60</v>
      </c>
      <c r="F4" s="8">
        <v>110.04679161093408</v>
      </c>
    </row>
    <row r="5" spans="1:6" x14ac:dyDescent="0.35">
      <c r="A5" t="s">
        <v>49</v>
      </c>
      <c r="B5" s="8">
        <v>2811433825.2760725</v>
      </c>
      <c r="C5" s="8">
        <v>93714460.842535749</v>
      </c>
      <c r="E5" s="8" t="s">
        <v>59</v>
      </c>
      <c r="F5" s="8">
        <v>11427.012962837125</v>
      </c>
    </row>
    <row r="6" spans="1:6" x14ac:dyDescent="0.35">
      <c r="A6" t="s">
        <v>50</v>
      </c>
      <c r="B6" s="8">
        <v>356459397.58819711</v>
      </c>
      <c r="C6" s="8">
        <v>11881979.91960657</v>
      </c>
      <c r="E6" s="8" t="s">
        <v>58</v>
      </c>
      <c r="F6" s="8">
        <v>697</v>
      </c>
    </row>
    <row r="7" spans="1:6" x14ac:dyDescent="0.35">
      <c r="A7" t="s">
        <v>51</v>
      </c>
      <c r="B7" s="8">
        <v>2454974427.6878753</v>
      </c>
      <c r="C7" s="8">
        <v>81832480.922929183</v>
      </c>
    </row>
    <row r="9" spans="1:6" x14ac:dyDescent="0.35">
      <c r="A9" s="1" t="s">
        <v>28</v>
      </c>
      <c r="B9" s="16"/>
      <c r="C9" s="16"/>
      <c r="D9" s="16"/>
      <c r="E9" s="16"/>
    </row>
    <row r="10" spans="1:6" x14ac:dyDescent="0.35">
      <c r="A10" t="s">
        <v>1</v>
      </c>
      <c r="B10" s="8" t="s">
        <v>2</v>
      </c>
      <c r="C10" s="8" t="s">
        <v>3</v>
      </c>
      <c r="D10" s="8" t="s">
        <v>4</v>
      </c>
      <c r="E10" s="8" t="s">
        <v>31</v>
      </c>
    </row>
    <row r="11" spans="1:6" x14ac:dyDescent="0.35">
      <c r="A11" t="s">
        <v>5</v>
      </c>
      <c r="B11" s="8">
        <v>3964507.1884634821</v>
      </c>
      <c r="C11" s="8">
        <v>448058531.69496292</v>
      </c>
      <c r="D11" s="8">
        <v>113.01745977376227</v>
      </c>
      <c r="E11" s="8">
        <v>14935284.389832098</v>
      </c>
    </row>
    <row r="12" spans="1:6" x14ac:dyDescent="0.35">
      <c r="A12" t="s">
        <v>32</v>
      </c>
      <c r="B12" s="8">
        <v>1620694.4117372031</v>
      </c>
      <c r="C12" s="8">
        <v>237004407.36121112</v>
      </c>
      <c r="D12" s="8">
        <v>146.2363327995738</v>
      </c>
      <c r="E12" s="8">
        <v>7900146.9120403705</v>
      </c>
    </row>
    <row r="13" spans="1:6" x14ac:dyDescent="0.35">
      <c r="A13" t="s">
        <v>6</v>
      </c>
      <c r="B13" s="8">
        <v>719124.19330211007</v>
      </c>
      <c r="C13" s="8">
        <v>132956962.32864988</v>
      </c>
      <c r="D13" s="8">
        <v>184.88734430993279</v>
      </c>
      <c r="E13" s="8">
        <v>4431898.744288329</v>
      </c>
    </row>
    <row r="14" spans="1:6" x14ac:dyDescent="0.35">
      <c r="A14" t="s">
        <v>33</v>
      </c>
      <c r="B14" s="8">
        <v>478312.56544999999</v>
      </c>
      <c r="C14" s="8">
        <v>38133566.307361074</v>
      </c>
      <c r="D14" s="8">
        <v>79.725202852416672</v>
      </c>
      <c r="E14" s="8">
        <v>1271118.8769120357</v>
      </c>
    </row>
    <row r="15" spans="1:6" x14ac:dyDescent="0.35">
      <c r="A15" t="s">
        <v>7</v>
      </c>
      <c r="B15" s="8">
        <v>2771394.6347871614</v>
      </c>
      <c r="C15" s="8">
        <v>190744140.03273627</v>
      </c>
      <c r="D15" s="8">
        <v>68.826047953789555</v>
      </c>
      <c r="E15" s="8">
        <v>6358138.0010912092</v>
      </c>
    </row>
    <row r="16" spans="1:6" x14ac:dyDescent="0.35">
      <c r="A16" t="s">
        <v>8</v>
      </c>
      <c r="B16" s="8">
        <v>9554032.9937399551</v>
      </c>
      <c r="C16" s="8">
        <v>1046897607.7249213</v>
      </c>
      <c r="E16" s="8">
        <v>34896586.924164042</v>
      </c>
    </row>
    <row r="18" spans="1:5" x14ac:dyDescent="0.35">
      <c r="A18" s="2" t="s">
        <v>29</v>
      </c>
      <c r="B18" s="9"/>
      <c r="C18" s="9"/>
      <c r="D18" s="9"/>
      <c r="E18" s="9"/>
    </row>
    <row r="19" spans="1:5" x14ac:dyDescent="0.35">
      <c r="A19" t="s">
        <v>1</v>
      </c>
      <c r="B19" s="8" t="s">
        <v>9</v>
      </c>
      <c r="C19" s="8" t="s">
        <v>10</v>
      </c>
      <c r="D19" s="8" t="s">
        <v>11</v>
      </c>
      <c r="E19" s="8" t="s">
        <v>34</v>
      </c>
    </row>
    <row r="20" spans="1:5" x14ac:dyDescent="0.35">
      <c r="A20" t="s">
        <v>5</v>
      </c>
      <c r="B20" s="8">
        <v>450684693.77635103</v>
      </c>
      <c r="C20" s="8">
        <v>4102507.1884634844</v>
      </c>
      <c r="D20" s="8">
        <v>4647272.3614914147</v>
      </c>
      <c r="E20" s="8">
        <v>15022823.125878368</v>
      </c>
    </row>
    <row r="21" spans="1:5" x14ac:dyDescent="0.35">
      <c r="A21" t="s">
        <v>32</v>
      </c>
      <c r="B21" s="8">
        <v>245509490.07474041</v>
      </c>
      <c r="C21" s="8">
        <v>1711767.4283312794</v>
      </c>
      <c r="D21" s="8">
        <v>2594124.9933218635</v>
      </c>
      <c r="E21" s="8">
        <v>8183649.6691580135</v>
      </c>
    </row>
    <row r="22" spans="1:5" x14ac:dyDescent="0.35">
      <c r="A22" t="s">
        <v>6</v>
      </c>
      <c r="B22" s="8">
        <v>136075206.19669092</v>
      </c>
      <c r="C22" s="8">
        <v>748271.20777420071</v>
      </c>
      <c r="D22" s="8">
        <v>2005431.4882825192</v>
      </c>
      <c r="E22" s="8">
        <v>4535840.206556364</v>
      </c>
    </row>
    <row r="23" spans="1:5" x14ac:dyDescent="0.35">
      <c r="A23" t="s">
        <v>33</v>
      </c>
      <c r="B23" s="8">
        <v>39320922.660719253</v>
      </c>
      <c r="C23" s="8">
        <v>492550.3836</v>
      </c>
      <c r="D23" s="8">
        <v>492550.3836</v>
      </c>
      <c r="E23" s="8">
        <v>1310697.4220239751</v>
      </c>
    </row>
    <row r="24" spans="1:5" x14ac:dyDescent="0.35">
      <c r="A24" t="s">
        <v>7</v>
      </c>
      <c r="B24" s="8">
        <v>168655269.52658033</v>
      </c>
      <c r="C24" s="8">
        <v>2812825.3635348934</v>
      </c>
      <c r="D24" s="8">
        <v>5159978.3782303696</v>
      </c>
      <c r="E24" s="8">
        <v>5621842.3175526774</v>
      </c>
    </row>
    <row r="25" spans="1:5" x14ac:dyDescent="0.35">
      <c r="A25" t="s">
        <v>12</v>
      </c>
      <c r="B25" s="8">
        <v>1040245582.2350819</v>
      </c>
      <c r="E25" s="8">
        <v>34674852.741169401</v>
      </c>
    </row>
    <row r="27" spans="1:5" x14ac:dyDescent="0.35">
      <c r="A27" s="3" t="s">
        <v>13</v>
      </c>
      <c r="B27" s="10"/>
      <c r="C27" s="10"/>
    </row>
    <row r="28" spans="1:5" x14ac:dyDescent="0.35">
      <c r="A28" t="s">
        <v>1</v>
      </c>
      <c r="B28" s="8" t="s">
        <v>35</v>
      </c>
      <c r="C28" s="8" t="s">
        <v>36</v>
      </c>
    </row>
    <row r="29" spans="1:5" x14ac:dyDescent="0.35">
      <c r="A29" t="s">
        <v>5</v>
      </c>
      <c r="B29" s="8">
        <v>118935215.65390441</v>
      </c>
      <c r="C29" s="8">
        <v>3964507.1884634802</v>
      </c>
    </row>
    <row r="30" spans="1:5" x14ac:dyDescent="0.35">
      <c r="A30" t="s">
        <v>32</v>
      </c>
      <c r="B30" s="8">
        <v>129655552.93897618</v>
      </c>
      <c r="C30" s="8">
        <v>4321851.7646325398</v>
      </c>
    </row>
    <row r="31" spans="1:5" x14ac:dyDescent="0.35">
      <c r="A31" t="s">
        <v>6</v>
      </c>
      <c r="B31" s="8">
        <v>107868628.99531651</v>
      </c>
      <c r="C31" s="8">
        <v>3595620.9665105501</v>
      </c>
    </row>
    <row r="32" spans="1:5" x14ac:dyDescent="0.35">
      <c r="A32" t="s">
        <v>33</v>
      </c>
      <c r="B32" s="8">
        <v>0</v>
      </c>
      <c r="C32" s="8">
        <v>0</v>
      </c>
    </row>
    <row r="33" spans="1:3" x14ac:dyDescent="0.35">
      <c r="A33" t="s">
        <v>7</v>
      </c>
      <c r="B33" s="8">
        <v>0</v>
      </c>
      <c r="C33" s="8">
        <v>0</v>
      </c>
    </row>
    <row r="34" spans="1:3" x14ac:dyDescent="0.35">
      <c r="A34" t="s">
        <v>14</v>
      </c>
      <c r="B34" s="8">
        <v>356459397.58819711</v>
      </c>
      <c r="C34" s="8">
        <v>11881979.91960657</v>
      </c>
    </row>
    <row r="35" spans="1:3" x14ac:dyDescent="0.35">
      <c r="A35" t="s">
        <v>15</v>
      </c>
      <c r="B35" s="8">
        <v>511419.50873485958</v>
      </c>
    </row>
    <row r="37" spans="1:3" x14ac:dyDescent="0.35">
      <c r="A37" s="4" t="s">
        <v>16</v>
      </c>
      <c r="B37" s="11"/>
      <c r="C37" s="11"/>
    </row>
    <row r="38" spans="1:3" x14ac:dyDescent="0.35">
      <c r="A38" t="s">
        <v>1</v>
      </c>
      <c r="B38" s="8" t="s">
        <v>37</v>
      </c>
      <c r="C38" s="8" t="s">
        <v>38</v>
      </c>
    </row>
    <row r="39" spans="1:3" x14ac:dyDescent="0.35">
      <c r="A39" t="s">
        <v>5</v>
      </c>
      <c r="B39" s="8">
        <v>331749478.12244666</v>
      </c>
      <c r="C39" s="8">
        <v>11058315.937414888</v>
      </c>
    </row>
    <row r="40" spans="1:3" x14ac:dyDescent="0.35">
      <c r="A40" t="s">
        <v>32</v>
      </c>
      <c r="B40" s="8">
        <v>115853937.13576423</v>
      </c>
      <c r="C40" s="8">
        <v>3861797.9045254742</v>
      </c>
    </row>
    <row r="41" spans="1:3" ht="12.4" customHeight="1" x14ac:dyDescent="0.35">
      <c r="A41" t="s">
        <v>6</v>
      </c>
      <c r="B41" s="8">
        <v>28206577.201374412</v>
      </c>
      <c r="C41" s="8">
        <v>940219.24004581373</v>
      </c>
    </row>
    <row r="42" spans="1:3" x14ac:dyDescent="0.35">
      <c r="A42" t="s">
        <v>33</v>
      </c>
      <c r="B42" s="8">
        <v>39320922.660719253</v>
      </c>
      <c r="C42" s="8">
        <v>1310697.4220239751</v>
      </c>
    </row>
    <row r="43" spans="1:3" x14ac:dyDescent="0.35">
      <c r="A43" t="s">
        <v>7</v>
      </c>
      <c r="B43" s="8">
        <v>168655269.52658033</v>
      </c>
      <c r="C43" s="8">
        <v>5621842.3175526774</v>
      </c>
    </row>
    <row r="44" spans="1:3" x14ac:dyDescent="0.35">
      <c r="A44" t="s">
        <v>17</v>
      </c>
      <c r="B44" s="8">
        <v>683786184.64688492</v>
      </c>
      <c r="C44" s="8">
        <v>22792872.82156283</v>
      </c>
    </row>
    <row r="46" spans="1:3" x14ac:dyDescent="0.35">
      <c r="A46" s="5" t="s">
        <v>18</v>
      </c>
      <c r="B46" s="12"/>
    </row>
    <row r="47" spans="1:3" x14ac:dyDescent="0.35">
      <c r="A47" t="s">
        <v>39</v>
      </c>
      <c r="B47" s="8" t="s">
        <v>8</v>
      </c>
      <c r="C47" s="8" t="s">
        <v>40</v>
      </c>
    </row>
    <row r="48" spans="1:3" x14ac:dyDescent="0.35">
      <c r="A48" t="s">
        <v>41</v>
      </c>
      <c r="B48" s="8">
        <v>205296.18773129955</v>
      </c>
      <c r="C48" s="8">
        <v>6843.206257709985</v>
      </c>
    </row>
    <row r="49" spans="1:5" x14ac:dyDescent="0.35">
      <c r="A49" t="s">
        <v>42</v>
      </c>
      <c r="B49" s="8">
        <v>215445.1026522218</v>
      </c>
      <c r="C49" s="8">
        <v>7181.5034217407265</v>
      </c>
    </row>
    <row r="50" spans="1:5" x14ac:dyDescent="0.35">
      <c r="A50" t="s">
        <v>19</v>
      </c>
      <c r="B50" s="8">
        <v>150.62447603707594</v>
      </c>
      <c r="E50" s="8" t="s">
        <v>52</v>
      </c>
    </row>
    <row r="51" spans="1:5" x14ac:dyDescent="0.35">
      <c r="A51" t="s">
        <v>20</v>
      </c>
      <c r="B51" s="8">
        <v>80.380811043642382</v>
      </c>
    </row>
    <row r="52" spans="1:5" x14ac:dyDescent="0.35">
      <c r="A52" t="s">
        <v>21</v>
      </c>
      <c r="B52" s="8">
        <v>30922630.709436174</v>
      </c>
      <c r="C52" s="8">
        <v>1030754.3569812059</v>
      </c>
    </row>
    <row r="53" spans="1:5" x14ac:dyDescent="0.35">
      <c r="A53" t="s">
        <v>22</v>
      </c>
      <c r="B53" s="8">
        <v>17317652.086566377</v>
      </c>
      <c r="C53" s="8">
        <v>577255.0695522126</v>
      </c>
    </row>
    <row r="54" spans="1:5" x14ac:dyDescent="0.35">
      <c r="A54" t="s">
        <v>23</v>
      </c>
      <c r="B54" s="8">
        <v>13604978.622869797</v>
      </c>
      <c r="C54" s="8">
        <v>453499.28742899321</v>
      </c>
    </row>
    <row r="55" spans="1:5" x14ac:dyDescent="0.35">
      <c r="A55" t="s">
        <v>24</v>
      </c>
      <c r="B55" s="8">
        <v>19519.338052897845</v>
      </c>
    </row>
    <row r="58" spans="1:5" x14ac:dyDescent="0.35">
      <c r="A58" s="6" t="s">
        <v>30</v>
      </c>
      <c r="B58" s="13"/>
      <c r="C58" s="13"/>
      <c r="D58" s="13"/>
    </row>
    <row r="59" spans="1:5" x14ac:dyDescent="0.35">
      <c r="A59" t="s">
        <v>1</v>
      </c>
      <c r="B59" s="8" t="s">
        <v>25</v>
      </c>
      <c r="C59" s="8" t="s">
        <v>26</v>
      </c>
      <c r="D59" s="8" t="s">
        <v>27</v>
      </c>
    </row>
    <row r="60" spans="1:5" x14ac:dyDescent="0.35">
      <c r="A60" t="s">
        <v>5</v>
      </c>
      <c r="B60" s="8">
        <v>3964507.1884634821</v>
      </c>
      <c r="C60" s="8">
        <v>3964507.1884634821</v>
      </c>
      <c r="D60" s="8">
        <v>0</v>
      </c>
    </row>
    <row r="61" spans="1:5" x14ac:dyDescent="0.35">
      <c r="A61" t="s">
        <v>32</v>
      </c>
      <c r="B61" s="8">
        <v>1620694.4117372031</v>
      </c>
      <c r="C61" s="8">
        <v>1620694.4117372031</v>
      </c>
      <c r="D61" s="8">
        <v>5.6843418860808015E-14</v>
      </c>
    </row>
    <row r="62" spans="1:5" x14ac:dyDescent="0.35">
      <c r="A62" t="s">
        <v>6</v>
      </c>
      <c r="B62" s="8">
        <v>719124.19330211007</v>
      </c>
      <c r="C62" s="8">
        <v>719124.19330211007</v>
      </c>
      <c r="D62" s="8">
        <v>4.5474735088646412E-13</v>
      </c>
    </row>
    <row r="63" spans="1:5" x14ac:dyDescent="0.35">
      <c r="A63" t="s">
        <v>33</v>
      </c>
      <c r="B63" s="8">
        <v>478312.56544999999</v>
      </c>
      <c r="C63" s="8">
        <v>478312.56544999999</v>
      </c>
      <c r="D63" s="8">
        <v>0</v>
      </c>
    </row>
    <row r="64" spans="1:5" x14ac:dyDescent="0.35">
      <c r="A64" t="s">
        <v>7</v>
      </c>
      <c r="B64" s="8">
        <v>2771394.6347871614</v>
      </c>
      <c r="C64" s="8">
        <v>2771394.6347871614</v>
      </c>
      <c r="D64" s="8">
        <v>1.8189894035458565E-12</v>
      </c>
    </row>
    <row r="65" spans="1:3" x14ac:dyDescent="0.35">
      <c r="A65" t="s">
        <v>8</v>
      </c>
      <c r="C65" s="8">
        <f>SUM(C60:C64)</f>
        <v>9554032.9937399551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4AAD-BFA3-45E4-8DCE-8C7BF796E691}">
  <dimension ref="A1:D21"/>
  <sheetViews>
    <sheetView zoomScaleNormal="100" workbookViewId="0">
      <selection activeCell="D17" sqref="A17:D17"/>
    </sheetView>
  </sheetViews>
  <sheetFormatPr defaultRowHeight="12.75" x14ac:dyDescent="0.35"/>
  <cols>
    <col min="1" max="1" width="23.265625" customWidth="1"/>
    <col min="2" max="2" width="13.46484375" bestFit="1" customWidth="1"/>
    <col min="3" max="3" width="12.3984375" bestFit="1" customWidth="1"/>
    <col min="4" max="4" width="13.9296875" bestFit="1" customWidth="1"/>
  </cols>
  <sheetData>
    <row r="1" spans="1:4" x14ac:dyDescent="0.35">
      <c r="B1" s="17" t="s">
        <v>53</v>
      </c>
      <c r="C1" s="17" t="s">
        <v>54</v>
      </c>
      <c r="D1" s="17" t="s">
        <v>45</v>
      </c>
    </row>
    <row r="2" spans="1:4" x14ac:dyDescent="0.35">
      <c r="A2" t="s">
        <v>43</v>
      </c>
      <c r="B2" s="8">
        <f>Rolling!C34</f>
        <v>11931697.299780304</v>
      </c>
      <c r="C2" s="8">
        <f>Fixed!C34</f>
        <v>11881979.91960657</v>
      </c>
      <c r="D2" s="15">
        <f>(C2-B2)/B2</f>
        <v>-4.1668321718695374E-3</v>
      </c>
    </row>
    <row r="3" spans="1:4" x14ac:dyDescent="0.35">
      <c r="A3" t="s">
        <v>44</v>
      </c>
      <c r="B3" s="8">
        <f>Rolling!C54</f>
        <v>343900.92123731697</v>
      </c>
      <c r="C3" s="8">
        <f>Fixed!C54</f>
        <v>453499.28742899321</v>
      </c>
      <c r="D3" s="14">
        <f>(C3-B3)/B3</f>
        <v>0.31869169119220037</v>
      </c>
    </row>
    <row r="4" spans="1:4" x14ac:dyDescent="0.35">
      <c r="A4" t="s">
        <v>55</v>
      </c>
      <c r="B4" s="8">
        <f>Rolling!C7</f>
        <v>81773643.419426411</v>
      </c>
      <c r="C4" s="8">
        <f>Fixed!C7</f>
        <v>81832480.922929183</v>
      </c>
      <c r="D4" s="14">
        <f t="shared" ref="D4:D5" si="0">(C4-B4)/B4</f>
        <v>7.1951671764197841E-4</v>
      </c>
    </row>
    <row r="5" spans="1:4" x14ac:dyDescent="0.35">
      <c r="A5" t="s">
        <v>56</v>
      </c>
      <c r="B5" s="8"/>
      <c r="C5" s="8"/>
      <c r="D5" s="14"/>
    </row>
    <row r="6" spans="1:4" x14ac:dyDescent="0.35">
      <c r="A6" s="7" t="s">
        <v>5</v>
      </c>
      <c r="B6" s="8">
        <f>Rolling!E20</f>
        <v>13451229.463507878</v>
      </c>
      <c r="C6" s="8">
        <f>Fixed!E20</f>
        <v>15022823.125878368</v>
      </c>
      <c r="D6" s="14">
        <f>(C6-B6)/B6</f>
        <v>0.11683643243423207</v>
      </c>
    </row>
    <row r="7" spans="1:4" x14ac:dyDescent="0.35">
      <c r="A7" s="7" t="s">
        <v>32</v>
      </c>
      <c r="B7" s="8">
        <f>Rolling!E21</f>
        <v>7485480.7861278439</v>
      </c>
      <c r="C7" s="8">
        <f>Fixed!E21</f>
        <v>8183649.6691580135</v>
      </c>
      <c r="D7" s="14">
        <f>(C7-B7)/B7</f>
        <v>9.3269744853800449E-2</v>
      </c>
    </row>
    <row r="8" spans="1:4" x14ac:dyDescent="0.35">
      <c r="A8" s="7" t="s">
        <v>6</v>
      </c>
      <c r="B8" s="8">
        <f>Rolling!E22</f>
        <v>4236337.3283478487</v>
      </c>
      <c r="C8" s="8">
        <f>Fixed!E22</f>
        <v>4535840.206556364</v>
      </c>
      <c r="D8" s="14">
        <f>(C8-B8)/B8</f>
        <v>7.0698543339399261E-2</v>
      </c>
    </row>
    <row r="9" spans="1:4" x14ac:dyDescent="0.35">
      <c r="A9" s="7" t="s">
        <v>33</v>
      </c>
      <c r="B9" s="8">
        <f>Rolling!E23</f>
        <v>1135588.9234072091</v>
      </c>
      <c r="C9" s="8">
        <f>Fixed!E23</f>
        <v>1310697.4220239751</v>
      </c>
      <c r="D9" s="14">
        <f>(C9-B9)/B9</f>
        <v>0.15420060464430407</v>
      </c>
    </row>
    <row r="10" spans="1:4" x14ac:dyDescent="0.35">
      <c r="A10" s="7" t="s">
        <v>7</v>
      </c>
      <c r="B10" s="8">
        <f>Rolling!E24</f>
        <v>4830883.7016831357</v>
      </c>
      <c r="C10" s="8">
        <f>Fixed!E24</f>
        <v>5621842.3175526774</v>
      </c>
      <c r="D10" s="14">
        <f>(C10-B10)/B10</f>
        <v>0.16372959166745465</v>
      </c>
    </row>
    <row r="17" spans="1:4" x14ac:dyDescent="0.35">
      <c r="A17" s="18"/>
      <c r="B17" s="19"/>
      <c r="C17" s="19"/>
      <c r="D17" s="19"/>
    </row>
    <row r="18" spans="1:4" x14ac:dyDescent="0.35">
      <c r="B18" s="8"/>
      <c r="C18" s="8"/>
      <c r="D18" s="8"/>
    </row>
    <row r="19" spans="1:4" x14ac:dyDescent="0.35">
      <c r="B19" s="8"/>
      <c r="C19" s="8"/>
      <c r="D19" s="8"/>
    </row>
    <row r="20" spans="1:4" x14ac:dyDescent="0.35">
      <c r="B20" s="8"/>
      <c r="C20" s="8"/>
      <c r="D20" s="8"/>
    </row>
    <row r="21" spans="1:4" x14ac:dyDescent="0.35">
      <c r="B21" s="8"/>
      <c r="C21" s="8"/>
      <c r="D21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Rolling</vt:lpstr>
      <vt:lpstr>Fixed</vt:lpstr>
      <vt:lpstr>Comparison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2026-03-16T10:46:52Z</dcterms:modified>
</cp:coreProperties>
</file>