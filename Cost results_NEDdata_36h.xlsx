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nneteu-my.sharepoint.com/personal/laura_linuesa-domenech_tennet_eu/Documents/Thesis/Code/"/>
    </mc:Choice>
  </mc:AlternateContent>
  <xr:revisionPtr revIDLastSave="795" documentId="8_{BA558C3F-E59C-4F04-9D2E-8441DAA40C29}" xr6:coauthVersionLast="47" xr6:coauthVersionMax="47" xr10:uidLastSave="{EF37979D-61C5-4768-A7C5-899ED4D69AC6}"/>
  <bookViews>
    <workbookView xWindow="-7260" yWindow="-16320" windowWidth="29040" windowHeight="15720" xr2:uid="{4AE1EDD8-8ACF-4AF9-86A6-B0088C54F040}"/>
  </bookViews>
  <sheets>
    <sheet name="Rolling" sheetId="1" r:id="rId1"/>
    <sheet name="Fixed" sheetId="8" r:id="rId2"/>
    <sheet name="Comparison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7" l="1"/>
  <c r="C9" i="7"/>
  <c r="C8" i="7"/>
  <c r="C7" i="7"/>
  <c r="C6" i="7"/>
  <c r="B10" i="7"/>
  <c r="B9" i="7"/>
  <c r="B8" i="7"/>
  <c r="B7" i="7"/>
  <c r="B6" i="7"/>
  <c r="C4" i="7"/>
  <c r="B4" i="7"/>
  <c r="C3" i="7"/>
  <c r="C2" i="7"/>
  <c r="B2" i="7"/>
  <c r="D4" i="7" l="1"/>
  <c r="C65" i="1"/>
  <c r="C65" i="8"/>
  <c r="B3" i="7"/>
  <c r="D9" i="7" l="1"/>
  <c r="D7" i="7"/>
  <c r="D6" i="7"/>
  <c r="D3" i="7"/>
  <c r="D2" i="7"/>
  <c r="D10" i="7"/>
  <c r="D8" i="7"/>
</calcChain>
</file>

<file path=xl/sharedStrings.xml><?xml version="1.0" encoding="utf-8"?>
<sst xmlns="http://schemas.openxmlformats.org/spreadsheetml/2006/main" count="174" uniqueCount="62">
  <si>
    <t>ECONOMIC SUMMARY</t>
  </si>
  <si>
    <t>Generator</t>
  </si>
  <si>
    <t>Energy (MWh)</t>
  </si>
  <si>
    <t>Revenue (EUR)</t>
  </si>
  <si>
    <t>Avg Price</t>
  </si>
  <si>
    <t>Base</t>
  </si>
  <si>
    <t>Peak</t>
  </si>
  <si>
    <t>Wind</t>
  </si>
  <si>
    <t>Total</t>
  </si>
  <si>
    <t>Net Revenue</t>
  </si>
  <si>
    <t>Net Traded</t>
  </si>
  <si>
    <t>Gross Traded</t>
  </si>
  <si>
    <t>Total Net Revenue</t>
  </si>
  <si>
    <t>GENERATOR COSTS (Production Costs)</t>
  </si>
  <si>
    <t>Total System Cost</t>
  </si>
  <si>
    <t>Average per Clearing</t>
  </si>
  <si>
    <t>GENERATOR PROFITS (Full Revenue - Cost)</t>
  </si>
  <si>
    <t>Total Generator Profit</t>
  </si>
  <si>
    <t>STORAGE REVENUE</t>
  </si>
  <si>
    <t>Avg Discharge Price (EUR/MWh)</t>
  </si>
  <si>
    <t>Avg Charging Price (EUR/MWh)</t>
  </si>
  <si>
    <t>Discharge Revenue (EUR)</t>
  </si>
  <si>
    <t>Charging Cost (EUR)</t>
  </si>
  <si>
    <t>Net Storage Revenue (EUR)</t>
  </si>
  <si>
    <t>Σ net trades</t>
  </si>
  <si>
    <t>Σ executed</t>
  </si>
  <si>
    <t>Max |Δ| per hour</t>
  </si>
  <si>
    <t>PRODUCER REVENUES (Executed-only)</t>
  </si>
  <si>
    <t>TOTAL FINANCIAL REVENUE (Incl. financial repositions → sum(q*price))</t>
  </si>
  <si>
    <t>DELIVERY-HOUR CHECK (sum all q for that hour vs g_planned[g,1])</t>
  </si>
  <si>
    <t>Revenue/Day (EUR)</t>
  </si>
  <si>
    <t>Mid</t>
  </si>
  <si>
    <t>Solar</t>
  </si>
  <si>
    <t>Revenue/Day</t>
  </si>
  <si>
    <t>Total Cost (EUR)</t>
  </si>
  <si>
    <t>Cost/Day (EUR)</t>
  </si>
  <si>
    <t>Total Profit (EUR)</t>
  </si>
  <si>
    <t>Profit/Day (EUR)</t>
  </si>
  <si>
    <t>Metric</t>
  </si>
  <si>
    <t>Per Day</t>
  </si>
  <si>
    <t>Energy Discharged (MWh)</t>
  </si>
  <si>
    <t>Energy Charged (MWh)</t>
  </si>
  <si>
    <t>Total system costs per day</t>
  </si>
  <si>
    <t>Net storage revenue/day</t>
  </si>
  <si>
    <t>Changes</t>
  </si>
  <si>
    <t>SOCIAL WELFARE</t>
  </si>
  <si>
    <t>Total (EUR)</t>
  </si>
  <si>
    <t>Per Day (EUR)</t>
  </si>
  <si>
    <t>Total Demand Value</t>
  </si>
  <si>
    <t>Total Generation Cost</t>
  </si>
  <si>
    <t>Social Welfare</t>
  </si>
  <si>
    <t xml:space="preserve"> </t>
  </si>
  <si>
    <t>Rolling</t>
  </si>
  <si>
    <t>Fixed</t>
  </si>
  <si>
    <t>Social welfare per day</t>
  </si>
  <si>
    <t>Net revenue/day</t>
  </si>
  <si>
    <t>GENERAL</t>
  </si>
  <si>
    <t>Total Wind Curtailed (MWh)</t>
  </si>
  <si>
    <t>Average Executed Price EUR/MWh</t>
  </si>
  <si>
    <t>Average Executed Price in EUR/MWh</t>
  </si>
  <si>
    <t>Total Losses (MWh)</t>
  </si>
  <si>
    <t>SOC End of Horizon (MWh)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</si>
</sst>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2" x14ac:knownFonts="1">
    <font>
      <sz val="10"/>
      <color theme="1"/>
      <name val="Arial"/>
      <family val="2"/>
    </font>
    <font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right"/>
    </xf>
    <xf numFmtId="164" fontId="0" fillId="0" borderId="0" xfId="1" applyNumberFormat="1" applyFont="1"/>
    <xf numFmtId="164" fontId="0" fillId="3" borderId="0" xfId="1" applyNumberFormat="1" applyFont="1" applyFill="1"/>
    <xf numFmtId="164" fontId="0" fillId="4" borderId="0" xfId="1" applyNumberFormat="1" applyFont="1" applyFill="1"/>
    <xf numFmtId="164" fontId="0" fillId="5" borderId="0" xfId="1" applyNumberFormat="1" applyFont="1" applyFill="1"/>
    <xf numFmtId="164" fontId="0" fillId="6" borderId="0" xfId="1" applyNumberFormat="1" applyFont="1" applyFill="1"/>
    <xf numFmtId="164" fontId="0" fillId="7" borderId="0" xfId="1" applyNumberFormat="1" applyFont="1" applyFill="1"/>
    <xf numFmtId="9" fontId="0" fillId="0" borderId="0" xfId="2" applyFont="1"/>
    <xf numFmtId="10" fontId="0" fillId="0" borderId="0" xfId="2" applyNumberFormat="1" applyFont="1"/>
    <xf numFmtId="164" fontId="0" fillId="2" borderId="0" xfId="1" applyNumberFormat="1" applyFont="1" applyFill="1"/>
    <xf numFmtId="164" fontId="0" fillId="0" borderId="0" xfId="1" applyNumberFormat="1" applyFont="1" applyFill="1"/>
    <xf numFmtId="164" fontId="0" fillId="8" borderId="0" xfId="1" applyNumberFormat="1" applyFont="1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520CF-47AC-4350-B2BB-3AA83C8195C6}">
  <dimension ref="A1:F65"/>
  <sheetViews>
    <sheetView tabSelected="1" topLeftCell="A12" zoomScale="70" zoomScaleNormal="70" workbookViewId="0">
      <selection activeCell="J53" sqref="J53"/>
    </sheetView>
  </sheetViews>
  <sheetFormatPr defaultRowHeight="12.75" x14ac:dyDescent="0.35"/>
  <cols>
    <col min="1" max="1" width="25.73046875" customWidth="1"/>
    <col min="2" max="3" width="16.06640625" style="8" bestFit="1" customWidth="1"/>
    <col min="4" max="4" width="13.53125" style="8" bestFit="1" customWidth="1"/>
    <col min="5" max="5" width="23.53125" style="8" customWidth="1"/>
    <col min="6" max="6" width="9.86328125" style="8" bestFit="1" customWidth="1"/>
  </cols>
  <sheetData>
    <row r="1" spans="1:6" x14ac:dyDescent="0.35">
      <c r="A1" t="s">
        <v>0</v>
      </c>
    </row>
    <row r="3" spans="1:6" x14ac:dyDescent="0.35">
      <c r="A3" s="6" t="s">
        <v>45</v>
      </c>
      <c r="B3" s="13"/>
      <c r="C3" s="13"/>
      <c r="E3" s="18" t="s">
        <v>56</v>
      </c>
      <c r="F3" s="18"/>
    </row>
    <row r="4" spans="1:6" x14ac:dyDescent="0.35">
      <c r="A4" t="s">
        <v>38</v>
      </c>
      <c r="B4" s="8" t="s">
        <v>46</v>
      </c>
      <c r="C4" s="8" t="s">
        <v>47</v>
      </c>
      <c r="E4" s="8" t="s">
        <v>58</v>
      </c>
      <c r="F4" s="8">
        <v>110.6803624078606</v>
      </c>
    </row>
    <row r="5" spans="1:6" x14ac:dyDescent="0.35">
      <c r="A5" t="s">
        <v>48</v>
      </c>
      <c r="B5" s="8">
        <v>2820608070.4586825</v>
      </c>
      <c r="C5" s="8">
        <v>94020269.015289411</v>
      </c>
      <c r="E5" s="8" t="s">
        <v>57</v>
      </c>
      <c r="F5" s="8">
        <v>3075.7788782251682</v>
      </c>
    </row>
    <row r="6" spans="1:6" x14ac:dyDescent="0.35">
      <c r="A6" t="s">
        <v>49</v>
      </c>
      <c r="B6" s="8">
        <v>364729347.33486712</v>
      </c>
      <c r="C6" s="8">
        <v>12157644.911162237</v>
      </c>
    </row>
    <row r="7" spans="1:6" x14ac:dyDescent="0.35">
      <c r="A7" t="s">
        <v>50</v>
      </c>
      <c r="B7" s="8">
        <v>2455878723.1238155</v>
      </c>
      <c r="C7" s="8">
        <v>81862624.104127184</v>
      </c>
    </row>
    <row r="9" spans="1:6" x14ac:dyDescent="0.35">
      <c r="A9" s="1" t="s">
        <v>27</v>
      </c>
      <c r="B9" s="16"/>
      <c r="C9" s="16"/>
      <c r="D9" s="16"/>
      <c r="E9" s="16"/>
    </row>
    <row r="10" spans="1:6" x14ac:dyDescent="0.35">
      <c r="A10" t="s">
        <v>1</v>
      </c>
      <c r="B10" s="8" t="s">
        <v>2</v>
      </c>
      <c r="C10" s="8" t="s">
        <v>3</v>
      </c>
      <c r="D10" s="8" t="s">
        <v>4</v>
      </c>
      <c r="E10" s="8" t="s">
        <v>30</v>
      </c>
    </row>
    <row r="11" spans="1:6" x14ac:dyDescent="0.35">
      <c r="A11" t="s">
        <v>5</v>
      </c>
      <c r="B11" s="8">
        <v>4014535.8866320755</v>
      </c>
      <c r="C11" s="8">
        <v>454173845.29341453</v>
      </c>
      <c r="D11" s="8">
        <v>113.13234160037257</v>
      </c>
      <c r="E11" s="8">
        <v>15139128.176447151</v>
      </c>
    </row>
    <row r="12" spans="1:6" x14ac:dyDescent="0.35">
      <c r="A12" t="s">
        <v>31</v>
      </c>
      <c r="B12" s="8">
        <v>1678134.2403556036</v>
      </c>
      <c r="C12" s="8">
        <v>242661189.32237151</v>
      </c>
      <c r="D12" s="8">
        <v>144.60177468934225</v>
      </c>
      <c r="E12" s="8">
        <v>8088706.310745717</v>
      </c>
    </row>
    <row r="13" spans="1:6" x14ac:dyDescent="0.35">
      <c r="A13" t="s">
        <v>6</v>
      </c>
      <c r="B13" s="8">
        <v>733616.87671637768</v>
      </c>
      <c r="C13" s="8">
        <v>135058827.80375299</v>
      </c>
      <c r="D13" s="8">
        <v>184.09994656647987</v>
      </c>
      <c r="E13" s="8">
        <v>4501960.9267917667</v>
      </c>
    </row>
    <row r="14" spans="1:6" x14ac:dyDescent="0.35">
      <c r="A14" t="s">
        <v>32</v>
      </c>
      <c r="B14" s="8">
        <v>484577.34234999993</v>
      </c>
      <c r="C14" s="8">
        <v>41325270.022251219</v>
      </c>
      <c r="D14" s="8">
        <v>85.281061268446294</v>
      </c>
      <c r="E14" s="8">
        <v>1377509.0007417074</v>
      </c>
    </row>
    <row r="15" spans="1:6" x14ac:dyDescent="0.35">
      <c r="A15" t="s">
        <v>7</v>
      </c>
      <c r="B15" s="8">
        <v>2697773.5456717731</v>
      </c>
      <c r="C15" s="8">
        <v>190268391.66032624</v>
      </c>
      <c r="D15" s="8">
        <v>70.527932919198179</v>
      </c>
      <c r="E15" s="8">
        <v>6342279.7220108751</v>
      </c>
    </row>
    <row r="16" spans="1:6" x14ac:dyDescent="0.35">
      <c r="A16" t="s">
        <v>8</v>
      </c>
      <c r="B16" s="8">
        <v>9608637.8917258307</v>
      </c>
      <c r="C16" s="8">
        <v>1063487524.1021166</v>
      </c>
      <c r="E16" s="8">
        <v>35449584.13673722</v>
      </c>
    </row>
    <row r="18" spans="1:5" x14ac:dyDescent="0.35">
      <c r="A18" s="2" t="s">
        <v>28</v>
      </c>
      <c r="B18" s="9"/>
      <c r="C18" s="9"/>
      <c r="D18" s="9"/>
      <c r="E18" s="9"/>
    </row>
    <row r="19" spans="1:5" x14ac:dyDescent="0.35">
      <c r="A19" t="s">
        <v>1</v>
      </c>
      <c r="B19" s="8" t="s">
        <v>9</v>
      </c>
      <c r="C19" s="8" t="s">
        <v>10</v>
      </c>
      <c r="D19" s="8" t="s">
        <v>11</v>
      </c>
      <c r="E19" s="8" t="s">
        <v>33</v>
      </c>
    </row>
    <row r="20" spans="1:5" x14ac:dyDescent="0.35">
      <c r="A20" t="s">
        <v>5</v>
      </c>
      <c r="B20" s="8">
        <v>421363840.71955907</v>
      </c>
      <c r="C20" s="8">
        <v>4224535.8866320774</v>
      </c>
      <c r="D20" s="8">
        <v>5762929.2038212484</v>
      </c>
      <c r="E20" s="8">
        <v>14045461.357318636</v>
      </c>
    </row>
    <row r="21" spans="1:5" x14ac:dyDescent="0.35">
      <c r="A21" t="s">
        <v>31</v>
      </c>
      <c r="B21" s="8">
        <v>235490579.42854935</v>
      </c>
      <c r="C21" s="8">
        <v>1809225.2792896556</v>
      </c>
      <c r="D21" s="8">
        <v>4591651.0562525745</v>
      </c>
      <c r="E21" s="8">
        <v>7849685.9809516454</v>
      </c>
    </row>
    <row r="22" spans="1:5" x14ac:dyDescent="0.35">
      <c r="A22" t="s">
        <v>6</v>
      </c>
      <c r="B22" s="8">
        <v>131455667.09209532</v>
      </c>
      <c r="C22" s="8">
        <v>774446.36759773793</v>
      </c>
      <c r="D22" s="8">
        <v>5073931.5005671233</v>
      </c>
      <c r="E22" s="8">
        <v>4381855.5697365105</v>
      </c>
    </row>
    <row r="23" spans="1:5" x14ac:dyDescent="0.35">
      <c r="A23" t="s">
        <v>32</v>
      </c>
      <c r="B23" s="8">
        <v>38817872.247835211</v>
      </c>
      <c r="C23" s="8">
        <v>532300.62179999996</v>
      </c>
      <c r="D23" s="8">
        <v>532300.62179999996</v>
      </c>
      <c r="E23" s="8">
        <v>1293929.0749278404</v>
      </c>
    </row>
    <row r="24" spans="1:5" x14ac:dyDescent="0.35">
      <c r="A24" t="s">
        <v>7</v>
      </c>
      <c r="B24" s="8">
        <v>141132065.01831871</v>
      </c>
      <c r="C24" s="8">
        <v>2753954.648935243</v>
      </c>
      <c r="D24" s="8">
        <v>9156482.7601530068</v>
      </c>
      <c r="E24" s="8">
        <v>4704402.1672772905</v>
      </c>
    </row>
    <row r="25" spans="1:5" x14ac:dyDescent="0.35">
      <c r="A25" t="s">
        <v>12</v>
      </c>
      <c r="B25" s="8">
        <v>968260024.50635767</v>
      </c>
      <c r="E25" s="8">
        <v>32275334.150211923</v>
      </c>
    </row>
    <row r="27" spans="1:5" x14ac:dyDescent="0.35">
      <c r="A27" s="3" t="s">
        <v>13</v>
      </c>
      <c r="B27" s="10"/>
      <c r="C27" s="10"/>
    </row>
    <row r="28" spans="1:5" x14ac:dyDescent="0.35">
      <c r="A28" t="s">
        <v>1</v>
      </c>
      <c r="B28" s="8" t="s">
        <v>34</v>
      </c>
      <c r="C28" s="8" t="s">
        <v>35</v>
      </c>
    </row>
    <row r="29" spans="1:5" x14ac:dyDescent="0.35">
      <c r="A29" t="s">
        <v>5</v>
      </c>
      <c r="B29" s="8">
        <v>120436076.59896223</v>
      </c>
      <c r="C29" s="8">
        <v>4014535.8866320746</v>
      </c>
    </row>
    <row r="30" spans="1:5" x14ac:dyDescent="0.35">
      <c r="A30" t="s">
        <v>31</v>
      </c>
      <c r="B30" s="8">
        <v>134250739.22844824</v>
      </c>
      <c r="C30" s="8">
        <v>4475024.6409482751</v>
      </c>
    </row>
    <row r="31" spans="1:5" x14ac:dyDescent="0.35">
      <c r="A31" t="s">
        <v>6</v>
      </c>
      <c r="B31" s="8">
        <v>110042531.50745668</v>
      </c>
      <c r="C31" s="8">
        <v>3668084.3835818893</v>
      </c>
    </row>
    <row r="32" spans="1:5" x14ac:dyDescent="0.35">
      <c r="A32" t="s">
        <v>32</v>
      </c>
      <c r="B32" s="8">
        <v>0</v>
      </c>
      <c r="C32" s="8">
        <v>0</v>
      </c>
    </row>
    <row r="33" spans="1:3" x14ac:dyDescent="0.35">
      <c r="A33" t="s">
        <v>7</v>
      </c>
      <c r="B33" s="8">
        <v>0</v>
      </c>
      <c r="C33" s="8">
        <v>0</v>
      </c>
    </row>
    <row r="34" spans="1:3" x14ac:dyDescent="0.35">
      <c r="A34" t="s">
        <v>14</v>
      </c>
      <c r="B34" s="8">
        <v>364729347.33486712</v>
      </c>
      <c r="C34" s="8">
        <v>12157644.911162237</v>
      </c>
    </row>
    <row r="35" spans="1:3" x14ac:dyDescent="0.35">
      <c r="A35" t="s">
        <v>15</v>
      </c>
      <c r="B35" s="8">
        <v>523284.57293381222</v>
      </c>
    </row>
    <row r="37" spans="1:3" x14ac:dyDescent="0.35">
      <c r="A37" s="4" t="s">
        <v>16</v>
      </c>
      <c r="B37" s="11"/>
      <c r="C37" s="11"/>
    </row>
    <row r="38" spans="1:3" x14ac:dyDescent="0.35">
      <c r="A38" t="s">
        <v>1</v>
      </c>
      <c r="B38" s="8" t="s">
        <v>36</v>
      </c>
      <c r="C38" s="8" t="s">
        <v>37</v>
      </c>
    </row>
    <row r="39" spans="1:3" x14ac:dyDescent="0.35">
      <c r="A39" t="s">
        <v>5</v>
      </c>
      <c r="B39" s="8">
        <v>300927764.12059683</v>
      </c>
      <c r="C39" s="8">
        <v>10030925.47068656</v>
      </c>
    </row>
    <row r="40" spans="1:3" x14ac:dyDescent="0.35">
      <c r="A40" t="s">
        <v>31</v>
      </c>
      <c r="B40" s="8">
        <v>101239840.20010111</v>
      </c>
      <c r="C40" s="8">
        <v>3374661.3400033703</v>
      </c>
    </row>
    <row r="41" spans="1:3" ht="12.4" customHeight="1" x14ac:dyDescent="0.35">
      <c r="A41" t="s">
        <v>6</v>
      </c>
      <c r="B41" s="8">
        <v>21413135.58463864</v>
      </c>
      <c r="C41" s="8">
        <v>713771.1861546213</v>
      </c>
    </row>
    <row r="42" spans="1:3" x14ac:dyDescent="0.35">
      <c r="A42" t="s">
        <v>32</v>
      </c>
      <c r="B42" s="8">
        <v>38817872.247835211</v>
      </c>
      <c r="C42" s="8">
        <v>1293929.0749278404</v>
      </c>
    </row>
    <row r="43" spans="1:3" x14ac:dyDescent="0.35">
      <c r="A43" t="s">
        <v>7</v>
      </c>
      <c r="B43" s="8">
        <v>141132065.01831871</v>
      </c>
      <c r="C43" s="8">
        <v>4704402.1672772905</v>
      </c>
    </row>
    <row r="44" spans="1:3" x14ac:dyDescent="0.35">
      <c r="A44" t="s">
        <v>17</v>
      </c>
      <c r="B44" s="8">
        <v>603530677.17149043</v>
      </c>
      <c r="C44" s="8">
        <v>20117689.239049681</v>
      </c>
    </row>
    <row r="46" spans="1:3" x14ac:dyDescent="0.35">
      <c r="A46" s="5" t="s">
        <v>18</v>
      </c>
      <c r="B46" s="12"/>
    </row>
    <row r="47" spans="1:3" x14ac:dyDescent="0.35">
      <c r="A47" t="s">
        <v>38</v>
      </c>
      <c r="B47" s="8" t="s">
        <v>8</v>
      </c>
      <c r="C47" s="8" t="s">
        <v>39</v>
      </c>
    </row>
    <row r="48" spans="1:3" x14ac:dyDescent="0.35">
      <c r="A48" t="s">
        <v>40</v>
      </c>
      <c r="B48" s="8">
        <v>191833.28203404712</v>
      </c>
      <c r="C48" s="8">
        <v>6394.4427344682372</v>
      </c>
    </row>
    <row r="49" spans="1:5" x14ac:dyDescent="0.35">
      <c r="A49" t="s">
        <v>41</v>
      </c>
      <c r="B49" s="8">
        <v>240124.99460819972</v>
      </c>
      <c r="C49" s="8">
        <v>8004.166486939991</v>
      </c>
    </row>
    <row r="50" spans="1:5" x14ac:dyDescent="0.35">
      <c r="A50" t="s">
        <v>19</v>
      </c>
      <c r="B50" s="8">
        <v>153.73424798356589</v>
      </c>
      <c r="E50" s="8" t="s">
        <v>51</v>
      </c>
    </row>
    <row r="51" spans="1:5" x14ac:dyDescent="0.35">
      <c r="A51" t="s">
        <v>20</v>
      </c>
      <c r="B51" s="8">
        <v>84.145665900685927</v>
      </c>
    </row>
    <row r="52" spans="1:5" x14ac:dyDescent="0.35">
      <c r="A52" t="s">
        <v>21</v>
      </c>
      <c r="B52" s="8">
        <v>29491345.351723537</v>
      </c>
      <c r="C52" s="8">
        <v>983044.84505745128</v>
      </c>
    </row>
    <row r="53" spans="1:5" x14ac:dyDescent="0.35">
      <c r="A53" t="s">
        <v>22</v>
      </c>
      <c r="B53" s="8">
        <v>20205477.570705581</v>
      </c>
      <c r="C53" s="8">
        <v>673515.91902351938</v>
      </c>
    </row>
    <row r="54" spans="1:5" x14ac:dyDescent="0.35">
      <c r="A54" t="s">
        <v>23</v>
      </c>
      <c r="B54" s="8">
        <v>9285867.7810179554</v>
      </c>
      <c r="C54" s="8">
        <v>309528.92603393184</v>
      </c>
    </row>
    <row r="55" spans="1:5" x14ac:dyDescent="0.35">
      <c r="A55" t="s">
        <v>60</v>
      </c>
      <c r="B55" s="8">
        <v>45327.308575714414</v>
      </c>
      <c r="C55" s="8">
        <v>1510.9102858571471</v>
      </c>
    </row>
    <row r="56" spans="1:5" x14ac:dyDescent="0.35">
      <c r="A56" t="s">
        <v>61</v>
      </c>
      <c r="B56" s="8">
        <v>2964.4039984381816</v>
      </c>
    </row>
    <row r="58" spans="1:5" x14ac:dyDescent="0.35">
      <c r="A58" s="6" t="s">
        <v>29</v>
      </c>
      <c r="B58" s="13"/>
      <c r="C58" s="13"/>
      <c r="D58" s="13"/>
    </row>
    <row r="59" spans="1:5" x14ac:dyDescent="0.35">
      <c r="A59" t="s">
        <v>1</v>
      </c>
      <c r="B59" s="8" t="s">
        <v>24</v>
      </c>
      <c r="C59" s="8" t="s">
        <v>25</v>
      </c>
      <c r="D59" s="8" t="s">
        <v>26</v>
      </c>
    </row>
    <row r="60" spans="1:5" x14ac:dyDescent="0.35">
      <c r="A60" t="s">
        <v>5</v>
      </c>
      <c r="B60" s="8">
        <v>4014535.8866320755</v>
      </c>
      <c r="C60" s="8">
        <v>4014535.8866320755</v>
      </c>
      <c r="D60" s="8">
        <v>0</v>
      </c>
    </row>
    <row r="61" spans="1:5" x14ac:dyDescent="0.35">
      <c r="A61" t="s">
        <v>31</v>
      </c>
      <c r="B61" s="8">
        <v>1678134.2403556036</v>
      </c>
      <c r="C61" s="8">
        <v>1678134.2403556036</v>
      </c>
      <c r="D61" s="8">
        <v>4.5474735088646412E-13</v>
      </c>
    </row>
    <row r="62" spans="1:5" x14ac:dyDescent="0.35">
      <c r="A62" t="s">
        <v>6</v>
      </c>
      <c r="B62" s="8">
        <v>733616.87671637768</v>
      </c>
      <c r="C62" s="8">
        <v>733616.87671637768</v>
      </c>
      <c r="D62" s="8">
        <v>9.0949470177292824E-13</v>
      </c>
    </row>
    <row r="63" spans="1:5" x14ac:dyDescent="0.35">
      <c r="A63" t="s">
        <v>32</v>
      </c>
      <c r="B63" s="8">
        <v>484577.34234999993</v>
      </c>
      <c r="C63" s="8">
        <v>484577.34234999993</v>
      </c>
      <c r="D63" s="8">
        <v>0</v>
      </c>
    </row>
    <row r="64" spans="1:5" x14ac:dyDescent="0.35">
      <c r="A64" t="s">
        <v>7</v>
      </c>
      <c r="B64" s="8">
        <v>2697773.5456717731</v>
      </c>
      <c r="C64" s="8">
        <v>2697773.5456717731</v>
      </c>
      <c r="D64" s="8">
        <v>4.5474735088646412E-13</v>
      </c>
    </row>
    <row r="65" spans="1:3" x14ac:dyDescent="0.35">
      <c r="A65" t="s">
        <v>8</v>
      </c>
      <c r="C65" s="8">
        <f>SUM(C60:C64)</f>
        <v>9608637.8917258289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C0484-F5CF-492E-9022-66F31340CCCF}">
  <dimension ref="A1:F65"/>
  <sheetViews>
    <sheetView topLeftCell="A2" zoomScale="71" zoomScaleNormal="85" workbookViewId="0">
      <selection activeCell="G17" sqref="G17"/>
    </sheetView>
  </sheetViews>
  <sheetFormatPr defaultRowHeight="12.75" x14ac:dyDescent="0.35"/>
  <cols>
    <col min="1" max="1" width="25.73046875" customWidth="1"/>
    <col min="2" max="3" width="16.06640625" style="8" bestFit="1" customWidth="1"/>
    <col min="4" max="4" width="13.53125" style="8" bestFit="1" customWidth="1"/>
    <col min="5" max="5" width="23.06640625" style="8" customWidth="1"/>
    <col min="6" max="6" width="9.86328125" style="8" bestFit="1" customWidth="1"/>
    <col min="11" max="11" width="10.6640625" bestFit="1" customWidth="1"/>
  </cols>
  <sheetData>
    <row r="1" spans="1:6" x14ac:dyDescent="0.35">
      <c r="A1" t="s">
        <v>0</v>
      </c>
    </row>
    <row r="3" spans="1:6" x14ac:dyDescent="0.35">
      <c r="A3" s="6" t="s">
        <v>45</v>
      </c>
      <c r="B3" s="13"/>
      <c r="C3" s="13"/>
      <c r="E3" s="18" t="s">
        <v>56</v>
      </c>
      <c r="F3" s="18"/>
    </row>
    <row r="4" spans="1:6" x14ac:dyDescent="0.35">
      <c r="A4" t="s">
        <v>38</v>
      </c>
      <c r="B4" s="8" t="s">
        <v>46</v>
      </c>
      <c r="C4" s="8" t="s">
        <v>47</v>
      </c>
      <c r="E4" s="8" t="s">
        <v>59</v>
      </c>
      <c r="F4" s="8">
        <v>109.59771505149432</v>
      </c>
    </row>
    <row r="5" spans="1:6" x14ac:dyDescent="0.35">
      <c r="A5" t="s">
        <v>48</v>
      </c>
      <c r="B5" s="8">
        <v>2821057439.5508747</v>
      </c>
      <c r="C5" s="8">
        <v>94035247.985029161</v>
      </c>
      <c r="E5" s="8" t="s">
        <v>57</v>
      </c>
      <c r="F5" s="8">
        <v>5474.9494418076792</v>
      </c>
    </row>
    <row r="6" spans="1:6" x14ac:dyDescent="0.35">
      <c r="A6" t="s">
        <v>49</v>
      </c>
      <c r="B6" s="8">
        <v>365655598.23995721</v>
      </c>
      <c r="C6" s="8">
        <v>12188519.941331906</v>
      </c>
    </row>
    <row r="7" spans="1:6" x14ac:dyDescent="0.35">
      <c r="A7" t="s">
        <v>50</v>
      </c>
      <c r="B7" s="8">
        <v>2455401841.3109174</v>
      </c>
      <c r="C7" s="8">
        <v>81846728.043697253</v>
      </c>
    </row>
    <row r="9" spans="1:6" x14ac:dyDescent="0.35">
      <c r="A9" s="1" t="s">
        <v>27</v>
      </c>
      <c r="B9" s="16"/>
      <c r="C9" s="16"/>
      <c r="D9" s="16"/>
      <c r="E9" s="16"/>
    </row>
    <row r="10" spans="1:6" x14ac:dyDescent="0.35">
      <c r="A10" t="s">
        <v>1</v>
      </c>
      <c r="B10" s="8" t="s">
        <v>2</v>
      </c>
      <c r="C10" s="8" t="s">
        <v>3</v>
      </c>
      <c r="D10" s="8" t="s">
        <v>4</v>
      </c>
      <c r="E10" s="8" t="s">
        <v>30</v>
      </c>
    </row>
    <row r="11" spans="1:6" x14ac:dyDescent="0.35">
      <c r="A11" t="s">
        <v>5</v>
      </c>
      <c r="B11" s="8">
        <v>4018340.3637399008</v>
      </c>
      <c r="C11" s="8">
        <v>451237617.73161542</v>
      </c>
      <c r="D11" s="8">
        <v>112.2945238296452</v>
      </c>
      <c r="E11" s="8">
        <v>15041253.924387181</v>
      </c>
    </row>
    <row r="12" spans="1:6" x14ac:dyDescent="0.35">
      <c r="A12" t="s">
        <v>31</v>
      </c>
      <c r="B12" s="8">
        <v>1682689.0077709546</v>
      </c>
      <c r="C12" s="8">
        <v>242099713.04052407</v>
      </c>
      <c r="D12" s="8">
        <v>143.87668304865895</v>
      </c>
      <c r="E12" s="8">
        <v>8069990.434684136</v>
      </c>
    </row>
    <row r="13" spans="1:6" x14ac:dyDescent="0.35">
      <c r="A13" t="s">
        <v>6</v>
      </c>
      <c r="B13" s="8">
        <v>736601.77804055833</v>
      </c>
      <c r="C13" s="8">
        <v>136122859.29867634</v>
      </c>
      <c r="D13" s="8">
        <v>184.79843974959999</v>
      </c>
      <c r="E13" s="8">
        <v>4537428.6432892112</v>
      </c>
    </row>
    <row r="14" spans="1:6" x14ac:dyDescent="0.35">
      <c r="A14" t="s">
        <v>32</v>
      </c>
      <c r="B14" s="8">
        <v>484577.34234999993</v>
      </c>
      <c r="C14" s="8">
        <v>40015442.00658685</v>
      </c>
      <c r="D14" s="8">
        <v>82.578029365814928</v>
      </c>
      <c r="E14" s="8">
        <v>1333848.0668862283</v>
      </c>
    </row>
    <row r="15" spans="1:6" x14ac:dyDescent="0.35">
      <c r="A15" t="s">
        <v>7</v>
      </c>
      <c r="B15" s="8">
        <v>2695374.3751081908</v>
      </c>
      <c r="C15" s="8">
        <v>184589474.46524969</v>
      </c>
      <c r="D15" s="8">
        <v>68.483798083834046</v>
      </c>
      <c r="E15" s="8">
        <v>6152982.4821749898</v>
      </c>
    </row>
    <row r="16" spans="1:6" x14ac:dyDescent="0.35">
      <c r="A16" t="s">
        <v>8</v>
      </c>
      <c r="B16" s="8">
        <v>9617582.8670096043</v>
      </c>
      <c r="C16" s="8">
        <v>1054065106.5426524</v>
      </c>
      <c r="E16" s="8">
        <v>35135503.551421747</v>
      </c>
    </row>
    <row r="18" spans="1:5" x14ac:dyDescent="0.35">
      <c r="A18" s="2" t="s">
        <v>28</v>
      </c>
      <c r="B18" s="9"/>
      <c r="C18" s="9"/>
      <c r="D18" s="9"/>
      <c r="E18" s="9"/>
    </row>
    <row r="19" spans="1:5" x14ac:dyDescent="0.35">
      <c r="A19" t="s">
        <v>1</v>
      </c>
      <c r="B19" s="8" t="s">
        <v>9</v>
      </c>
      <c r="C19" s="8" t="s">
        <v>10</v>
      </c>
      <c r="D19" s="8" t="s">
        <v>11</v>
      </c>
      <c r="E19" s="8" t="s">
        <v>33</v>
      </c>
    </row>
    <row r="20" spans="1:5" x14ac:dyDescent="0.35">
      <c r="A20" t="s">
        <v>5</v>
      </c>
      <c r="B20" s="8">
        <v>465622823.36823332</v>
      </c>
      <c r="C20" s="8">
        <v>4228340.363739904</v>
      </c>
      <c r="D20" s="8">
        <v>5119379.5187708661</v>
      </c>
      <c r="E20" s="8">
        <v>15520760.778941112</v>
      </c>
    </row>
    <row r="21" spans="1:5" x14ac:dyDescent="0.35">
      <c r="A21" t="s">
        <v>31</v>
      </c>
      <c r="B21" s="8">
        <v>256694430.11280364</v>
      </c>
      <c r="C21" s="8">
        <v>1813223.5368351534</v>
      </c>
      <c r="D21" s="8">
        <v>3582473.3875720417</v>
      </c>
      <c r="E21" s="8">
        <v>8556481.0037601218</v>
      </c>
    </row>
    <row r="22" spans="1:5" x14ac:dyDescent="0.35">
      <c r="A22" t="s">
        <v>6</v>
      </c>
      <c r="B22" s="8">
        <v>138903130.97962818</v>
      </c>
      <c r="C22" s="8">
        <v>778411.04978094099</v>
      </c>
      <c r="D22" s="8">
        <v>3548825.6501077986</v>
      </c>
      <c r="E22" s="8">
        <v>4630104.3659876054</v>
      </c>
    </row>
    <row r="23" spans="1:5" x14ac:dyDescent="0.35">
      <c r="A23" t="s">
        <v>32</v>
      </c>
      <c r="B23" s="8">
        <v>43557826.728426546</v>
      </c>
      <c r="C23" s="8">
        <v>532300.62179999996</v>
      </c>
      <c r="D23" s="8">
        <v>532300.62179999996</v>
      </c>
      <c r="E23" s="8">
        <v>1451927.5576142182</v>
      </c>
    </row>
    <row r="24" spans="1:5" x14ac:dyDescent="0.35">
      <c r="A24" t="s">
        <v>7</v>
      </c>
      <c r="B24" s="8">
        <v>166785500.8105264</v>
      </c>
      <c r="C24" s="8">
        <v>2750909.068016985</v>
      </c>
      <c r="D24" s="8">
        <v>7209854.4257632121</v>
      </c>
      <c r="E24" s="8">
        <v>5559516.6936842138</v>
      </c>
    </row>
    <row r="25" spans="1:5" x14ac:dyDescent="0.35">
      <c r="A25" t="s">
        <v>12</v>
      </c>
      <c r="B25" s="8">
        <v>1071563711.9996181</v>
      </c>
      <c r="E25" s="8">
        <v>35718790.399987265</v>
      </c>
    </row>
    <row r="27" spans="1:5" x14ac:dyDescent="0.35">
      <c r="A27" s="3" t="s">
        <v>13</v>
      </c>
      <c r="B27" s="10"/>
      <c r="C27" s="10"/>
    </row>
    <row r="28" spans="1:5" x14ac:dyDescent="0.35">
      <c r="A28" t="s">
        <v>1</v>
      </c>
      <c r="B28" s="8" t="s">
        <v>34</v>
      </c>
      <c r="C28" s="8" t="s">
        <v>35</v>
      </c>
    </row>
    <row r="29" spans="1:5" x14ac:dyDescent="0.35">
      <c r="A29" t="s">
        <v>5</v>
      </c>
      <c r="B29" s="8">
        <v>120550210.91219707</v>
      </c>
      <c r="C29" s="8">
        <v>4018340.3637399022</v>
      </c>
    </row>
    <row r="30" spans="1:5" x14ac:dyDescent="0.35">
      <c r="A30" t="s">
        <v>31</v>
      </c>
      <c r="B30" s="8">
        <v>134615120.62167645</v>
      </c>
      <c r="C30" s="8">
        <v>4487170.6873892145</v>
      </c>
    </row>
    <row r="31" spans="1:5" x14ac:dyDescent="0.35">
      <c r="A31" t="s">
        <v>6</v>
      </c>
      <c r="B31" s="8">
        <v>110490266.70608373</v>
      </c>
      <c r="C31" s="8">
        <v>3683008.890202791</v>
      </c>
    </row>
    <row r="32" spans="1:5" x14ac:dyDescent="0.35">
      <c r="A32" t="s">
        <v>32</v>
      </c>
      <c r="B32" s="8">
        <v>0</v>
      </c>
      <c r="C32" s="8">
        <v>0</v>
      </c>
    </row>
    <row r="33" spans="1:3" x14ac:dyDescent="0.35">
      <c r="A33" t="s">
        <v>7</v>
      </c>
      <c r="B33" s="8">
        <v>0</v>
      </c>
      <c r="C33" s="8">
        <v>0</v>
      </c>
    </row>
    <row r="34" spans="1:3" x14ac:dyDescent="0.35">
      <c r="A34" t="s">
        <v>14</v>
      </c>
      <c r="B34" s="8">
        <v>365655598.23995721</v>
      </c>
      <c r="C34" s="8">
        <v>12188519.941331906</v>
      </c>
    </row>
    <row r="35" spans="1:3" x14ac:dyDescent="0.35">
      <c r="A35" t="s">
        <v>15</v>
      </c>
      <c r="B35" s="8">
        <v>524613.48384498886</v>
      </c>
    </row>
    <row r="37" spans="1:3" x14ac:dyDescent="0.35">
      <c r="A37" s="4" t="s">
        <v>16</v>
      </c>
      <c r="B37" s="11"/>
      <c r="C37" s="11"/>
    </row>
    <row r="38" spans="1:3" x14ac:dyDescent="0.35">
      <c r="A38" t="s">
        <v>1</v>
      </c>
      <c r="B38" s="8" t="s">
        <v>36</v>
      </c>
      <c r="C38" s="8" t="s">
        <v>37</v>
      </c>
    </row>
    <row r="39" spans="1:3" x14ac:dyDescent="0.35">
      <c r="A39" t="s">
        <v>5</v>
      </c>
      <c r="B39" s="8">
        <v>345072612.45603627</v>
      </c>
      <c r="C39" s="8">
        <v>11502420.415201209</v>
      </c>
    </row>
    <row r="40" spans="1:3" x14ac:dyDescent="0.35">
      <c r="A40" t="s">
        <v>31</v>
      </c>
      <c r="B40" s="8">
        <v>122079309.49112719</v>
      </c>
      <c r="C40" s="8">
        <v>4069310.3163709063</v>
      </c>
    </row>
    <row r="41" spans="1:3" ht="12.4" customHeight="1" x14ac:dyDescent="0.35">
      <c r="A41" t="s">
        <v>6</v>
      </c>
      <c r="B41" s="8">
        <v>28412864.273544446</v>
      </c>
      <c r="C41" s="8">
        <v>947095.4757848148</v>
      </c>
    </row>
    <row r="42" spans="1:3" x14ac:dyDescent="0.35">
      <c r="A42" t="s">
        <v>32</v>
      </c>
      <c r="B42" s="8">
        <v>43557826.728426546</v>
      </c>
      <c r="C42" s="8">
        <v>1451927.5576142182</v>
      </c>
    </row>
    <row r="43" spans="1:3" x14ac:dyDescent="0.35">
      <c r="A43" t="s">
        <v>7</v>
      </c>
      <c r="B43" s="8">
        <v>166785500.8105264</v>
      </c>
      <c r="C43" s="8">
        <v>5559516.6936842138</v>
      </c>
    </row>
    <row r="44" spans="1:3" x14ac:dyDescent="0.35">
      <c r="A44" t="s">
        <v>17</v>
      </c>
      <c r="B44" s="8">
        <v>705908113.75966084</v>
      </c>
      <c r="C44" s="8">
        <v>23530270.458655361</v>
      </c>
    </row>
    <row r="46" spans="1:3" x14ac:dyDescent="0.35">
      <c r="A46" s="5" t="s">
        <v>18</v>
      </c>
      <c r="B46" s="12"/>
    </row>
    <row r="47" spans="1:3" x14ac:dyDescent="0.35">
      <c r="A47" t="s">
        <v>38</v>
      </c>
      <c r="B47" s="8" t="s">
        <v>8</v>
      </c>
      <c r="C47" s="8" t="s">
        <v>39</v>
      </c>
    </row>
    <row r="48" spans="1:3" x14ac:dyDescent="0.35">
      <c r="A48" t="s">
        <v>40</v>
      </c>
      <c r="B48" s="8">
        <v>195290.03573052358</v>
      </c>
      <c r="C48" s="8">
        <v>6509.6678576841196</v>
      </c>
    </row>
    <row r="49" spans="1:5" x14ac:dyDescent="0.35">
      <c r="A49" t="s">
        <v>41</v>
      </c>
      <c r="B49" s="8">
        <v>244572.4781444736</v>
      </c>
      <c r="C49" s="8">
        <v>8152.4159381491199</v>
      </c>
    </row>
    <row r="50" spans="1:5" x14ac:dyDescent="0.35">
      <c r="A50" t="s">
        <v>19</v>
      </c>
      <c r="B50" s="8">
        <v>154.87959629046537</v>
      </c>
      <c r="E50" s="8" t="s">
        <v>51</v>
      </c>
    </row>
    <row r="51" spans="1:5" x14ac:dyDescent="0.35">
      <c r="A51" t="s">
        <v>20</v>
      </c>
      <c r="B51" s="8">
        <v>81.022817136413124</v>
      </c>
    </row>
    <row r="52" spans="1:5" x14ac:dyDescent="0.35">
      <c r="A52" t="s">
        <v>21</v>
      </c>
      <c r="B52" s="8">
        <v>30246441.893494051</v>
      </c>
      <c r="C52" s="8">
        <v>1008214.729783135</v>
      </c>
    </row>
    <row r="53" spans="1:5" x14ac:dyDescent="0.35">
      <c r="A53" t="s">
        <v>22</v>
      </c>
      <c r="B53" s="8">
        <v>19815951.173299082</v>
      </c>
      <c r="C53" s="8">
        <v>660531.70577663602</v>
      </c>
    </row>
    <row r="54" spans="1:5" x14ac:dyDescent="0.35">
      <c r="A54" t="s">
        <v>23</v>
      </c>
      <c r="B54" s="8">
        <v>10430490.720194969</v>
      </c>
      <c r="C54" s="8">
        <v>347683.02400649898</v>
      </c>
    </row>
    <row r="55" spans="1:5" x14ac:dyDescent="0.35">
      <c r="A55" t="s">
        <v>60</v>
      </c>
      <c r="B55" s="8">
        <v>46156.14067339446</v>
      </c>
      <c r="C55" s="8">
        <v>1538.538022446482</v>
      </c>
    </row>
    <row r="56" spans="1:5" x14ac:dyDescent="0.35">
      <c r="A56" t="s">
        <v>61</v>
      </c>
      <c r="B56" s="8">
        <v>3126.3017405555561</v>
      </c>
    </row>
    <row r="58" spans="1:5" x14ac:dyDescent="0.35">
      <c r="A58" s="6" t="s">
        <v>29</v>
      </c>
      <c r="B58" s="13"/>
      <c r="C58" s="13"/>
      <c r="D58" s="13"/>
    </row>
    <row r="59" spans="1:5" x14ac:dyDescent="0.35">
      <c r="A59" t="s">
        <v>1</v>
      </c>
      <c r="B59" s="8" t="s">
        <v>24</v>
      </c>
      <c r="C59" s="8" t="s">
        <v>25</v>
      </c>
      <c r="D59" s="8" t="s">
        <v>26</v>
      </c>
    </row>
    <row r="60" spans="1:5" x14ac:dyDescent="0.35">
      <c r="A60" t="s">
        <v>5</v>
      </c>
      <c r="B60" s="8">
        <v>4018340.3637399008</v>
      </c>
      <c r="C60" s="8">
        <v>4018340.3637399008</v>
      </c>
      <c r="D60" s="8">
        <v>0</v>
      </c>
    </row>
    <row r="61" spans="1:5" x14ac:dyDescent="0.35">
      <c r="A61" t="s">
        <v>31</v>
      </c>
      <c r="B61" s="8">
        <v>1682689.0077709546</v>
      </c>
      <c r="C61" s="8">
        <v>1682689.0077709546</v>
      </c>
      <c r="D61" s="8">
        <v>5.6843418860808015E-14</v>
      </c>
    </row>
    <row r="62" spans="1:5" x14ac:dyDescent="0.35">
      <c r="A62" t="s">
        <v>6</v>
      </c>
      <c r="B62" s="8">
        <v>736601.77804055833</v>
      </c>
      <c r="C62" s="8">
        <v>736601.77804055833</v>
      </c>
      <c r="D62" s="8">
        <v>6.8212102632969618E-13</v>
      </c>
    </row>
    <row r="63" spans="1:5" x14ac:dyDescent="0.35">
      <c r="A63" t="s">
        <v>32</v>
      </c>
      <c r="B63" s="8">
        <v>484577.34234999993</v>
      </c>
      <c r="C63" s="8">
        <v>484577.34234999993</v>
      </c>
      <c r="D63" s="8">
        <v>0</v>
      </c>
    </row>
    <row r="64" spans="1:5" x14ac:dyDescent="0.35">
      <c r="A64" t="s">
        <v>7</v>
      </c>
      <c r="B64" s="8">
        <v>2695374.3751081908</v>
      </c>
      <c r="C64" s="8">
        <v>2695374.3751081908</v>
      </c>
      <c r="D64" s="8">
        <v>2.2737367544323206E-13</v>
      </c>
    </row>
    <row r="65" spans="1:3" x14ac:dyDescent="0.35">
      <c r="A65" t="s">
        <v>8</v>
      </c>
      <c r="C65" s="8">
        <f>SUM(C60:C64)</f>
        <v>9617582.8670096043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94AAD-BFA3-45E4-8DCE-8C7BF796E691}">
  <dimension ref="A1:D21"/>
  <sheetViews>
    <sheetView zoomScaleNormal="100" workbookViewId="0">
      <selection activeCell="C15" sqref="C15"/>
    </sheetView>
  </sheetViews>
  <sheetFormatPr defaultRowHeight="12.75" x14ac:dyDescent="0.35"/>
  <cols>
    <col min="1" max="1" width="23.265625" customWidth="1"/>
    <col min="2" max="2" width="13.46484375" bestFit="1" customWidth="1"/>
    <col min="3" max="3" width="12.3984375" bestFit="1" customWidth="1"/>
    <col min="4" max="4" width="13.9296875" bestFit="1" customWidth="1"/>
  </cols>
  <sheetData>
    <row r="1" spans="1:4" x14ac:dyDescent="0.35">
      <c r="B1" t="s">
        <v>52</v>
      </c>
      <c r="C1" t="s">
        <v>53</v>
      </c>
      <c r="D1" t="s">
        <v>44</v>
      </c>
    </row>
    <row r="2" spans="1:4" x14ac:dyDescent="0.35">
      <c r="A2" t="s">
        <v>42</v>
      </c>
      <c r="B2" s="8">
        <f>Rolling!C34</f>
        <v>12157644.911162237</v>
      </c>
      <c r="C2" s="8">
        <f>Fixed!C34</f>
        <v>12188519.941331906</v>
      </c>
      <c r="D2" s="15">
        <f>(C2-B2)/B2</f>
        <v>2.5395568299023444E-3</v>
      </c>
    </row>
    <row r="3" spans="1:4" x14ac:dyDescent="0.35">
      <c r="A3" t="s">
        <v>43</v>
      </c>
      <c r="B3" s="8">
        <f>Rolling!C54</f>
        <v>309528.92603393184</v>
      </c>
      <c r="C3" s="8">
        <f>Fixed!C54</f>
        <v>347683.02400649898</v>
      </c>
      <c r="D3" s="14">
        <f>(C3-B3)/B3</f>
        <v>0.12326504815380171</v>
      </c>
    </row>
    <row r="4" spans="1:4" x14ac:dyDescent="0.35">
      <c r="A4" t="s">
        <v>54</v>
      </c>
      <c r="B4" s="8">
        <f>Rolling!C7</f>
        <v>81862624.104127184</v>
      </c>
      <c r="C4" s="8">
        <f>Fixed!C7</f>
        <v>81846728.043697253</v>
      </c>
      <c r="D4" s="15">
        <f t="shared" ref="D4" si="0">(C4-B4)/B4</f>
        <v>-1.9417970782015614E-4</v>
      </c>
    </row>
    <row r="5" spans="1:4" x14ac:dyDescent="0.35">
      <c r="A5" t="s">
        <v>55</v>
      </c>
      <c r="B5" s="8"/>
      <c r="C5" s="8"/>
      <c r="D5" s="14"/>
    </row>
    <row r="6" spans="1:4" x14ac:dyDescent="0.35">
      <c r="A6" s="7" t="s">
        <v>5</v>
      </c>
      <c r="B6" s="8">
        <f>Rolling!E20</f>
        <v>14045461.357318636</v>
      </c>
      <c r="C6" s="8">
        <f>Fixed!E20</f>
        <v>15520760.778941112</v>
      </c>
      <c r="D6" s="14">
        <f>(C6-B6)/B6</f>
        <v>0.10503744833228598</v>
      </c>
    </row>
    <row r="7" spans="1:4" x14ac:dyDescent="0.35">
      <c r="A7" s="7" t="s">
        <v>31</v>
      </c>
      <c r="B7" s="8">
        <f>Rolling!E21</f>
        <v>7849685.9809516454</v>
      </c>
      <c r="C7" s="8">
        <f>Fixed!E21</f>
        <v>8556481.0037601218</v>
      </c>
      <c r="D7" s="14">
        <f>(C7-B7)/B7</f>
        <v>9.0041184389237069E-2</v>
      </c>
    </row>
    <row r="8" spans="1:4" x14ac:dyDescent="0.35">
      <c r="A8" s="7" t="s">
        <v>6</v>
      </c>
      <c r="B8" s="8">
        <f>Rolling!E22</f>
        <v>4381855.5697365105</v>
      </c>
      <c r="C8" s="8">
        <f>Fixed!E22</f>
        <v>4630104.3659876054</v>
      </c>
      <c r="D8" s="14">
        <f>(C8-B8)/B8</f>
        <v>5.6653806201563732E-2</v>
      </c>
    </row>
    <row r="9" spans="1:4" x14ac:dyDescent="0.35">
      <c r="A9" s="7" t="s">
        <v>32</v>
      </c>
      <c r="B9" s="8">
        <f>Rolling!E23</f>
        <v>1293929.0749278404</v>
      </c>
      <c r="C9" s="8">
        <f>Fixed!E23</f>
        <v>1451927.5576142182</v>
      </c>
      <c r="D9" s="14">
        <f>(C9-B9)/B9</f>
        <v>0.12210752949900988</v>
      </c>
    </row>
    <row r="10" spans="1:4" x14ac:dyDescent="0.35">
      <c r="A10" s="7" t="s">
        <v>7</v>
      </c>
      <c r="B10" s="8">
        <f>Rolling!E24</f>
        <v>4704402.1672772905</v>
      </c>
      <c r="C10" s="8">
        <f>Fixed!E24</f>
        <v>5559516.6936842138</v>
      </c>
      <c r="D10" s="14">
        <f>(C10-B10)/B10</f>
        <v>0.18176901038667523</v>
      </c>
    </row>
    <row r="17" spans="2:4" x14ac:dyDescent="0.35">
      <c r="B17" s="17"/>
      <c r="C17" s="17"/>
      <c r="D17" s="17"/>
    </row>
    <row r="18" spans="2:4" x14ac:dyDescent="0.35">
      <c r="B18" s="8"/>
      <c r="C18" s="8"/>
      <c r="D18" s="8"/>
    </row>
    <row r="19" spans="2:4" x14ac:dyDescent="0.35">
      <c r="B19" s="8"/>
      <c r="C19" s="8"/>
      <c r="D19" s="8"/>
    </row>
    <row r="20" spans="2:4" x14ac:dyDescent="0.35">
      <c r="B20" s="8"/>
      <c r="C20" s="8"/>
      <c r="D20" s="8"/>
    </row>
    <row r="21" spans="2:4" x14ac:dyDescent="0.35">
      <c r="B21" s="8"/>
      <c r="C21" s="8"/>
      <c r="D21" s="8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e118e09-08be-4360-a815-3fc29828016d}" enabled="1" method="Standard" siteId="{15b734ef-4a07-47e7-90f4-22cc84a7af2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Rolling</vt:lpstr>
      <vt:lpstr>Fixed</vt:lpstr>
      <vt:lpstr>Comparison</vt:lpstr>
    </vt:vector>
  </TitlesOfParts>
  <Company>TenneT TSO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Linuesa-Domenech, Laura</dc:creator>
  <cp:lastModifiedBy>Linuesa-Domenech, Laura</cp:lastModifiedBy>
  <dcterms:created xsi:type="dcterms:W3CDTF">2026-01-27T15:50:57Z</dcterms:created>
  <dcterms:modified xsi:type="dcterms:W3CDTF">2026-03-19T17:44:22Z</dcterms:modified>
</cp:coreProperties>
</file>