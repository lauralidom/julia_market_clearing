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neteu-my.sharepoint.com/personal/laura_linuesa-domenech_tennet_eu/Documents/Thesis/Code/"/>
    </mc:Choice>
  </mc:AlternateContent>
  <xr:revisionPtr revIDLastSave="826" documentId="8_{BA558C3F-E59C-4F04-9D2E-8441DAA40C29}" xr6:coauthVersionLast="47" xr6:coauthVersionMax="47" xr10:uidLastSave="{23322C90-33A4-43D5-98CA-8FF90FC59167}"/>
  <bookViews>
    <workbookView xWindow="3375" yWindow="-16320" windowWidth="29040" windowHeight="15720" activeTab="2" xr2:uid="{4AE1EDD8-8ACF-4AF9-86A6-B0088C54F040}"/>
  </bookViews>
  <sheets>
    <sheet name="Rolling" sheetId="1" r:id="rId1"/>
    <sheet name="Fixed" sheetId="8" r:id="rId2"/>
    <sheet name="Comparis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7" l="1"/>
  <c r="C9" i="7"/>
  <c r="C10" i="7"/>
  <c r="C11" i="7"/>
  <c r="C7" i="7"/>
  <c r="B8" i="7"/>
  <c r="B9" i="7"/>
  <c r="B10" i="7"/>
  <c r="B11" i="7"/>
  <c r="B7" i="7"/>
  <c r="D4" i="7"/>
  <c r="C4" i="7"/>
  <c r="B4" i="7"/>
  <c r="C3" i="7"/>
  <c r="B3" i="7"/>
  <c r="C5" i="7"/>
  <c r="C2" i="7"/>
  <c r="B2" i="7"/>
  <c r="D3" i="7" l="1"/>
  <c r="C65" i="1"/>
  <c r="C65" i="8"/>
  <c r="B5" i="7"/>
  <c r="D10" i="7" l="1"/>
  <c r="D8" i="7"/>
  <c r="D7" i="7"/>
  <c r="D5" i="7"/>
  <c r="D2" i="7"/>
  <c r="D11" i="7"/>
  <c r="D9" i="7"/>
</calcChain>
</file>

<file path=xl/sharedStrings.xml><?xml version="1.0" encoding="utf-8"?>
<sst xmlns="http://schemas.openxmlformats.org/spreadsheetml/2006/main" count="175" uniqueCount="63">
  <si>
    <t>ECONOMIC SUMMARY</t>
  </si>
  <si>
    <t>Generator</t>
  </si>
  <si>
    <t>Energy (MWh)</t>
  </si>
  <si>
    <t>Revenue (EUR)</t>
  </si>
  <si>
    <t>Avg Price</t>
  </si>
  <si>
    <t>Base</t>
  </si>
  <si>
    <t>Peak</t>
  </si>
  <si>
    <t>Wind</t>
  </si>
  <si>
    <t>Total</t>
  </si>
  <si>
    <t>Net Revenue</t>
  </si>
  <si>
    <t>Net Traded</t>
  </si>
  <si>
    <t>Gross Traded</t>
  </si>
  <si>
    <t>Total Net Revenue</t>
  </si>
  <si>
    <t>GENERATOR COSTS (Production Costs)</t>
  </si>
  <si>
    <t>Total System Cost</t>
  </si>
  <si>
    <t>Average per Clearing</t>
  </si>
  <si>
    <t>GENERATOR PROFITS (Full Revenue - Cost)</t>
  </si>
  <si>
    <t>Total Generator Profit</t>
  </si>
  <si>
    <t>STORAGE REVENUE</t>
  </si>
  <si>
    <t>Avg Discharge Price (EUR/MWh)</t>
  </si>
  <si>
    <t>Avg Charging Price (EUR/MWh)</t>
  </si>
  <si>
    <t>Discharge Revenue (EUR)</t>
  </si>
  <si>
    <t>Charging Cost (EUR)</t>
  </si>
  <si>
    <t>Net Storage Revenue (EUR)</t>
  </si>
  <si>
    <t>Σ net trades</t>
  </si>
  <si>
    <t>Σ executed</t>
  </si>
  <si>
    <t>Max |Δ| per hour</t>
  </si>
  <si>
    <t>PRODUCER REVENUES (Executed-only)</t>
  </si>
  <si>
    <t>TOTAL FINANCIAL REVENUE (Incl. financial repositions → sum(q*price))</t>
  </si>
  <si>
    <t>DELIVERY-HOUR CHECK (sum all q for that hour vs g_planned[g,1])</t>
  </si>
  <si>
    <t>Revenue/Day (EUR)</t>
  </si>
  <si>
    <t>Mid</t>
  </si>
  <si>
    <t>Solar</t>
  </si>
  <si>
    <t>Revenue/Day</t>
  </si>
  <si>
    <t>Total Cost (EUR)</t>
  </si>
  <si>
    <t>Cost/Day (EUR)</t>
  </si>
  <si>
    <t>Total Profit (EUR)</t>
  </si>
  <si>
    <t>Profit/Day (EUR)</t>
  </si>
  <si>
    <t>Metric</t>
  </si>
  <si>
    <t>Per Day</t>
  </si>
  <si>
    <t>Energy Discharged (MWh)</t>
  </si>
  <si>
    <t>Energy Charged (MWh)</t>
  </si>
  <si>
    <t>Total system costs per day</t>
  </si>
  <si>
    <t>Net storage revenue/day</t>
  </si>
  <si>
    <t>Changes</t>
  </si>
  <si>
    <t>SOCIAL WELFARE</t>
  </si>
  <si>
    <t>Total (EUR)</t>
  </si>
  <si>
    <t>Per Day (EUR)</t>
  </si>
  <si>
    <t>Total Demand Value</t>
  </si>
  <si>
    <t>Total Generation Cost</t>
  </si>
  <si>
    <t>Social Welfare</t>
  </si>
  <si>
    <t xml:space="preserve"> </t>
  </si>
  <si>
    <t>Rolling</t>
  </si>
  <si>
    <t>Fixed</t>
  </si>
  <si>
    <t>Social welfare per day</t>
  </si>
  <si>
    <t>GENERAL</t>
  </si>
  <si>
    <t>Total Wind Curtailed (MWh)</t>
  </si>
  <si>
    <t>Average Executed Price EUR/MWh</t>
  </si>
  <si>
    <t>Average Executed Price in EUR/MWh</t>
  </si>
  <si>
    <t>Total Losses (MWh)</t>
  </si>
  <si>
    <t>SOC End of Horizon (MWh)</t>
  </si>
  <si>
    <t>Curtailment</t>
  </si>
  <si>
    <t>Profit/day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</si>
</sst>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right"/>
    </xf>
    <xf numFmtId="164" fontId="0" fillId="0" borderId="0" xfId="1" applyNumberFormat="1" applyFont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7" borderId="0" xfId="1" applyNumberFormat="1" applyFont="1" applyFill="1"/>
    <xf numFmtId="9" fontId="0" fillId="0" borderId="0" xfId="2" applyFont="1"/>
    <xf numFmtId="10" fontId="0" fillId="0" borderId="0" xfId="2" applyNumberFormat="1" applyFont="1"/>
    <xf numFmtId="164" fontId="0" fillId="2" borderId="0" xfId="1" applyNumberFormat="1" applyFont="1" applyFill="1"/>
    <xf numFmtId="164" fontId="0" fillId="0" borderId="0" xfId="1" applyNumberFormat="1" applyFont="1" applyFill="1"/>
    <xf numFmtId="164" fontId="0" fillId="8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20CF-47AC-4350-B2BB-3AA83C8195C6}">
  <dimension ref="A1:F65"/>
  <sheetViews>
    <sheetView topLeftCell="A2" zoomScale="70" zoomScaleNormal="70" workbookViewId="0">
      <selection activeCell="G37" sqref="G37"/>
    </sheetView>
  </sheetViews>
  <sheetFormatPr defaultRowHeight="12.75" x14ac:dyDescent="0.35"/>
  <cols>
    <col min="1" max="1" width="25.73046875" customWidth="1"/>
    <col min="2" max="3" width="16.06640625" style="8" bestFit="1" customWidth="1"/>
    <col min="4" max="4" width="13.53125" style="8" bestFit="1" customWidth="1"/>
    <col min="5" max="5" width="23.53125" style="8" customWidth="1"/>
    <col min="6" max="6" width="9.86328125" style="8" bestFit="1" customWidth="1"/>
  </cols>
  <sheetData>
    <row r="1" spans="1:6" x14ac:dyDescent="0.35">
      <c r="A1" t="s">
        <v>0</v>
      </c>
    </row>
    <row r="3" spans="1:6" x14ac:dyDescent="0.35">
      <c r="A3" s="6" t="s">
        <v>45</v>
      </c>
      <c r="B3" s="13"/>
      <c r="C3" s="13"/>
      <c r="E3" s="18" t="s">
        <v>55</v>
      </c>
      <c r="F3" s="18"/>
    </row>
    <row r="4" spans="1:6" x14ac:dyDescent="0.35">
      <c r="A4" t="s">
        <v>38</v>
      </c>
      <c r="B4" s="8" t="s">
        <v>46</v>
      </c>
      <c r="C4" s="8" t="s">
        <v>47</v>
      </c>
      <c r="E4" s="8" t="s">
        <v>57</v>
      </c>
      <c r="F4" s="8">
        <v>34.94128195357986</v>
      </c>
    </row>
    <row r="5" spans="1:6" x14ac:dyDescent="0.35">
      <c r="A5" t="s">
        <v>48</v>
      </c>
      <c r="B5" s="8">
        <v>2363858574.078856</v>
      </c>
      <c r="C5" s="8">
        <v>78795285.802628532</v>
      </c>
      <c r="E5" s="8" t="s">
        <v>56</v>
      </c>
      <c r="F5" s="8">
        <v>477425.89021656604</v>
      </c>
    </row>
    <row r="6" spans="1:6" x14ac:dyDescent="0.35">
      <c r="A6" t="s">
        <v>49</v>
      </c>
      <c r="B6" s="8">
        <v>90380169.919605628</v>
      </c>
      <c r="C6" s="8">
        <v>3012672.3306535208</v>
      </c>
    </row>
    <row r="7" spans="1:6" x14ac:dyDescent="0.35">
      <c r="A7" t="s">
        <v>50</v>
      </c>
      <c r="B7" s="8">
        <v>2273478404.1592503</v>
      </c>
      <c r="C7" s="8">
        <v>75782613.471975014</v>
      </c>
    </row>
    <row r="9" spans="1:6" x14ac:dyDescent="0.35">
      <c r="A9" s="1" t="s">
        <v>27</v>
      </c>
      <c r="B9" s="16"/>
      <c r="C9" s="16"/>
      <c r="D9" s="16"/>
      <c r="E9" s="16"/>
    </row>
    <row r="10" spans="1:6" x14ac:dyDescent="0.35">
      <c r="A10" t="s">
        <v>1</v>
      </c>
      <c r="B10" s="8" t="s">
        <v>2</v>
      </c>
      <c r="C10" s="8" t="s">
        <v>3</v>
      </c>
      <c r="D10" s="8" t="s">
        <v>4</v>
      </c>
      <c r="E10" s="8" t="s">
        <v>30</v>
      </c>
    </row>
    <row r="11" spans="1:6" x14ac:dyDescent="0.35">
      <c r="A11" t="s">
        <v>5</v>
      </c>
      <c r="B11" s="8">
        <v>2441670.2796098222</v>
      </c>
      <c r="C11" s="8">
        <v>144216253.52984518</v>
      </c>
      <c r="D11" s="8">
        <v>59.064589815497477</v>
      </c>
      <c r="E11" s="8">
        <v>4807208.450994839</v>
      </c>
    </row>
    <row r="12" spans="1:6" x14ac:dyDescent="0.35">
      <c r="A12" t="s">
        <v>31</v>
      </c>
      <c r="B12" s="8">
        <v>209105.80709560722</v>
      </c>
      <c r="C12" s="8">
        <v>17941127.300796688</v>
      </c>
      <c r="D12" s="8">
        <v>85.799278126186408</v>
      </c>
      <c r="E12" s="8">
        <v>598037.57669322297</v>
      </c>
    </row>
    <row r="13" spans="1:6" x14ac:dyDescent="0.35">
      <c r="A13" t="s">
        <v>6</v>
      </c>
      <c r="B13" s="8">
        <v>2677.3130910820878</v>
      </c>
      <c r="C13" s="8">
        <v>401596.96366231318</v>
      </c>
      <c r="D13" s="8">
        <v>150</v>
      </c>
      <c r="E13" s="8">
        <v>13386.565455410439</v>
      </c>
    </row>
    <row r="14" spans="1:6" x14ac:dyDescent="0.35">
      <c r="A14" t="s">
        <v>32</v>
      </c>
      <c r="B14" s="8">
        <v>3345677.4043698427</v>
      </c>
      <c r="C14" s="8">
        <v>42285188.629981853</v>
      </c>
      <c r="D14" s="8">
        <v>12.638752491424455</v>
      </c>
      <c r="E14" s="8">
        <v>1409506.2876660617</v>
      </c>
    </row>
    <row r="15" spans="1:6" x14ac:dyDescent="0.35">
      <c r="A15" t="s">
        <v>7</v>
      </c>
      <c r="B15" s="8">
        <v>2406153.5773834353</v>
      </c>
      <c r="C15" s="8">
        <v>88847245.051466286</v>
      </c>
      <c r="D15" s="8">
        <v>36.925010060281757</v>
      </c>
      <c r="E15" s="8">
        <v>2961574.8350488762</v>
      </c>
    </row>
    <row r="16" spans="1:6" x14ac:dyDescent="0.35">
      <c r="A16" t="s">
        <v>8</v>
      </c>
      <c r="B16" s="8">
        <v>8405284.3815497905</v>
      </c>
      <c r="C16" s="8">
        <v>293691411.47575235</v>
      </c>
      <c r="E16" s="8">
        <v>9789713.715858411</v>
      </c>
    </row>
    <row r="18" spans="1:5" x14ac:dyDescent="0.35">
      <c r="A18" s="2" t="s">
        <v>28</v>
      </c>
      <c r="B18" s="9"/>
      <c r="C18" s="9"/>
      <c r="D18" s="9"/>
      <c r="E18" s="9"/>
    </row>
    <row r="19" spans="1:5" x14ac:dyDescent="0.35">
      <c r="A19" t="s">
        <v>1</v>
      </c>
      <c r="B19" s="8" t="s">
        <v>9</v>
      </c>
      <c r="C19" s="8" t="s">
        <v>10</v>
      </c>
      <c r="D19" s="8" t="s">
        <v>11</v>
      </c>
      <c r="E19" s="8" t="s">
        <v>33</v>
      </c>
    </row>
    <row r="20" spans="1:5" x14ac:dyDescent="0.35">
      <c r="A20" t="s">
        <v>5</v>
      </c>
      <c r="B20" s="8">
        <v>134374379.47017145</v>
      </c>
      <c r="C20" s="8">
        <v>2590223.0518127065</v>
      </c>
      <c r="D20" s="8">
        <v>5164434.1247768141</v>
      </c>
      <c r="E20" s="8">
        <v>4479145.9823390488</v>
      </c>
    </row>
    <row r="21" spans="1:5" x14ac:dyDescent="0.35">
      <c r="A21" t="s">
        <v>31</v>
      </c>
      <c r="B21" s="8">
        <v>21915221.767913591</v>
      </c>
      <c r="C21" s="8">
        <v>243412.33561095229</v>
      </c>
      <c r="D21" s="8">
        <v>3036661.7333832057</v>
      </c>
      <c r="E21" s="8">
        <v>730507.3922637864</v>
      </c>
    </row>
    <row r="22" spans="1:5" x14ac:dyDescent="0.35">
      <c r="A22" t="s">
        <v>6</v>
      </c>
      <c r="B22" s="8">
        <v>401596.96366231318</v>
      </c>
      <c r="C22" s="8">
        <v>2677.3130910820878</v>
      </c>
      <c r="D22" s="8">
        <v>6681.9028584638108</v>
      </c>
      <c r="E22" s="8">
        <v>13386.565455410439</v>
      </c>
    </row>
    <row r="23" spans="1:5" x14ac:dyDescent="0.35">
      <c r="A23" t="s">
        <v>32</v>
      </c>
      <c r="B23" s="8">
        <v>28935137.205064368</v>
      </c>
      <c r="C23" s="8">
        <v>3511488.9423198453</v>
      </c>
      <c r="D23" s="8">
        <v>3633866.5646139812</v>
      </c>
      <c r="E23" s="8">
        <v>964504.57350214559</v>
      </c>
    </row>
    <row r="24" spans="1:5" x14ac:dyDescent="0.35">
      <c r="A24" t="s">
        <v>7</v>
      </c>
      <c r="B24" s="8">
        <v>59426001.622067861</v>
      </c>
      <c r="C24" s="8">
        <v>2439377.9096909259</v>
      </c>
      <c r="D24" s="8">
        <v>8414383.4028999284</v>
      </c>
      <c r="E24" s="8">
        <v>1980866.7207355953</v>
      </c>
    </row>
    <row r="25" spans="1:5" x14ac:dyDescent="0.35">
      <c r="A25" t="s">
        <v>12</v>
      </c>
      <c r="B25" s="8">
        <v>245052337.02887958</v>
      </c>
      <c r="E25" s="8">
        <v>8168411.2342959857</v>
      </c>
    </row>
    <row r="27" spans="1:5" x14ac:dyDescent="0.35">
      <c r="A27" s="3" t="s">
        <v>13</v>
      </c>
      <c r="B27" s="10"/>
      <c r="C27" s="10"/>
    </row>
    <row r="28" spans="1:5" x14ac:dyDescent="0.35">
      <c r="A28" t="s">
        <v>1</v>
      </c>
      <c r="B28" s="8" t="s">
        <v>34</v>
      </c>
      <c r="C28" s="8" t="s">
        <v>35</v>
      </c>
    </row>
    <row r="29" spans="1:5" x14ac:dyDescent="0.35">
      <c r="A29" t="s">
        <v>5</v>
      </c>
      <c r="B29" s="8">
        <v>73250108.388294727</v>
      </c>
      <c r="C29" s="8">
        <v>2441670.2796098241</v>
      </c>
    </row>
    <row r="30" spans="1:5" x14ac:dyDescent="0.35">
      <c r="A30" t="s">
        <v>31</v>
      </c>
      <c r="B30" s="8">
        <v>16728464.567648584</v>
      </c>
      <c r="C30" s="8">
        <v>557615.48558828619</v>
      </c>
    </row>
    <row r="31" spans="1:5" x14ac:dyDescent="0.35">
      <c r="A31" t="s">
        <v>6</v>
      </c>
      <c r="B31" s="8">
        <v>401596.96366231318</v>
      </c>
      <c r="C31" s="8">
        <v>13386.565455410439</v>
      </c>
    </row>
    <row r="32" spans="1:5" x14ac:dyDescent="0.35">
      <c r="A32" t="s">
        <v>32</v>
      </c>
      <c r="B32" s="8">
        <v>0</v>
      </c>
      <c r="C32" s="8">
        <v>0</v>
      </c>
    </row>
    <row r="33" spans="1:3" x14ac:dyDescent="0.35">
      <c r="A33" t="s">
        <v>7</v>
      </c>
      <c r="B33" s="8">
        <v>0</v>
      </c>
      <c r="C33" s="8">
        <v>0</v>
      </c>
    </row>
    <row r="34" spans="1:3" x14ac:dyDescent="0.35">
      <c r="A34" t="s">
        <v>14</v>
      </c>
      <c r="B34" s="8">
        <v>90380169.919605628</v>
      </c>
      <c r="C34" s="8">
        <v>3012672.3306535208</v>
      </c>
    </row>
    <row r="35" spans="1:3" x14ac:dyDescent="0.35">
      <c r="A35" t="s">
        <v>15</v>
      </c>
      <c r="B35" s="8">
        <v>129670.25813429788</v>
      </c>
    </row>
    <row r="37" spans="1:3" x14ac:dyDescent="0.35">
      <c r="A37" s="4" t="s">
        <v>16</v>
      </c>
      <c r="B37" s="11"/>
      <c r="C37" s="11"/>
    </row>
    <row r="38" spans="1:3" x14ac:dyDescent="0.35">
      <c r="A38" t="s">
        <v>1</v>
      </c>
      <c r="B38" s="8" t="s">
        <v>36</v>
      </c>
      <c r="C38" s="8" t="s">
        <v>37</v>
      </c>
    </row>
    <row r="39" spans="1:3" x14ac:dyDescent="0.35">
      <c r="A39" t="s">
        <v>5</v>
      </c>
      <c r="B39" s="8">
        <v>61124271.081876725</v>
      </c>
      <c r="C39" s="8">
        <v>2037475.7027292242</v>
      </c>
    </row>
    <row r="40" spans="1:3" x14ac:dyDescent="0.35">
      <c r="A40" t="s">
        <v>31</v>
      </c>
      <c r="B40" s="8">
        <v>5186757.2002650071</v>
      </c>
      <c r="C40" s="8">
        <v>172891.90667550024</v>
      </c>
    </row>
    <row r="41" spans="1:3" ht="12.4" customHeight="1" x14ac:dyDescent="0.35">
      <c r="A41" t="s">
        <v>6</v>
      </c>
      <c r="B41" s="8">
        <v>0</v>
      </c>
      <c r="C41" s="8">
        <v>0</v>
      </c>
    </row>
    <row r="42" spans="1:3" x14ac:dyDescent="0.35">
      <c r="A42" t="s">
        <v>32</v>
      </c>
      <c r="B42" s="8">
        <v>28935137.205064368</v>
      </c>
      <c r="C42" s="8">
        <v>964504.57350214559</v>
      </c>
    </row>
    <row r="43" spans="1:3" x14ac:dyDescent="0.35">
      <c r="A43" t="s">
        <v>7</v>
      </c>
      <c r="B43" s="8">
        <v>59426001.622067861</v>
      </c>
      <c r="C43" s="8">
        <v>1980866.7207355953</v>
      </c>
    </row>
    <row r="44" spans="1:3" x14ac:dyDescent="0.35">
      <c r="A44" t="s">
        <v>17</v>
      </c>
      <c r="B44" s="8">
        <v>154672167.10927397</v>
      </c>
      <c r="C44" s="8">
        <v>5155738.9036424654</v>
      </c>
    </row>
    <row r="46" spans="1:3" x14ac:dyDescent="0.35">
      <c r="A46" s="5" t="s">
        <v>18</v>
      </c>
      <c r="B46" s="12"/>
    </row>
    <row r="47" spans="1:3" x14ac:dyDescent="0.35">
      <c r="A47" t="s">
        <v>38</v>
      </c>
      <c r="B47" s="8" t="s">
        <v>8</v>
      </c>
      <c r="C47" s="8" t="s">
        <v>39</v>
      </c>
    </row>
    <row r="48" spans="1:3" x14ac:dyDescent="0.35">
      <c r="A48" t="s">
        <v>40</v>
      </c>
      <c r="B48" s="8">
        <v>186646.16972542999</v>
      </c>
      <c r="C48" s="8">
        <v>6221.5389908476664</v>
      </c>
    </row>
    <row r="49" spans="1:5" x14ac:dyDescent="0.35">
      <c r="A49" t="s">
        <v>41</v>
      </c>
      <c r="B49" s="8">
        <v>235094.03669806186</v>
      </c>
      <c r="C49" s="8">
        <v>7836.4678899353949</v>
      </c>
    </row>
    <row r="50" spans="1:5" x14ac:dyDescent="0.35">
      <c r="A50" t="s">
        <v>19</v>
      </c>
      <c r="B50" s="8">
        <v>69.233450126015342</v>
      </c>
      <c r="E50" s="8" t="s">
        <v>51</v>
      </c>
    </row>
    <row r="51" spans="1:5" x14ac:dyDescent="0.35">
      <c r="A51" t="s">
        <v>20</v>
      </c>
      <c r="B51" s="8">
        <v>12.621227828932595</v>
      </c>
    </row>
    <row r="52" spans="1:5" x14ac:dyDescent="0.35">
      <c r="A52" t="s">
        <v>21</v>
      </c>
      <c r="B52" s="8">
        <v>12922158.282897351</v>
      </c>
      <c r="C52" s="8">
        <v>430738.60942991171</v>
      </c>
    </row>
    <row r="53" spans="1:5" x14ac:dyDescent="0.35">
      <c r="A53" t="s">
        <v>22</v>
      </c>
      <c r="B53" s="8">
        <v>2967175.3983896789</v>
      </c>
      <c r="C53" s="8">
        <v>98905.846612989291</v>
      </c>
    </row>
    <row r="54" spans="1:5" x14ac:dyDescent="0.35">
      <c r="A54" t="s">
        <v>23</v>
      </c>
      <c r="B54" s="8">
        <v>9954982.8845076729</v>
      </c>
      <c r="C54" s="8">
        <v>331832.76281692245</v>
      </c>
    </row>
    <row r="55" spans="1:5" x14ac:dyDescent="0.35">
      <c r="A55" t="s">
        <v>59</v>
      </c>
      <c r="B55" s="8">
        <v>44247.866972631862</v>
      </c>
      <c r="C55" s="8">
        <v>1474.9288990877287</v>
      </c>
    </row>
    <row r="56" spans="1:5" x14ac:dyDescent="0.35">
      <c r="A56" t="s">
        <v>60</v>
      </c>
      <c r="B56" s="8">
        <v>4200</v>
      </c>
    </row>
    <row r="58" spans="1:5" x14ac:dyDescent="0.35">
      <c r="A58" s="6" t="s">
        <v>29</v>
      </c>
      <c r="B58" s="13"/>
      <c r="C58" s="13"/>
      <c r="D58" s="13"/>
    </row>
    <row r="59" spans="1:5" x14ac:dyDescent="0.35">
      <c r="A59" t="s">
        <v>1</v>
      </c>
      <c r="B59" s="8" t="s">
        <v>24</v>
      </c>
      <c r="C59" s="8" t="s">
        <v>25</v>
      </c>
      <c r="D59" s="8" t="s">
        <v>26</v>
      </c>
    </row>
    <row r="60" spans="1:5" x14ac:dyDescent="0.35">
      <c r="A60" t="s">
        <v>5</v>
      </c>
      <c r="B60" s="8">
        <v>2441670.2796098222</v>
      </c>
      <c r="C60" s="8">
        <v>2441670.2796098222</v>
      </c>
      <c r="D60" s="8">
        <v>2.8421709430404007E-14</v>
      </c>
    </row>
    <row r="61" spans="1:5" x14ac:dyDescent="0.35">
      <c r="A61" t="s">
        <v>31</v>
      </c>
      <c r="B61" s="8">
        <v>209105.80709560722</v>
      </c>
      <c r="C61" s="8">
        <v>209105.80709560722</v>
      </c>
      <c r="D61" s="8">
        <v>0</v>
      </c>
    </row>
    <row r="62" spans="1:5" x14ac:dyDescent="0.35">
      <c r="A62" t="s">
        <v>6</v>
      </c>
      <c r="B62" s="8">
        <v>2677.3130910820878</v>
      </c>
      <c r="C62" s="8">
        <v>2677.3130910820878</v>
      </c>
      <c r="D62" s="8">
        <v>7.1054273576010019E-15</v>
      </c>
    </row>
    <row r="63" spans="1:5" x14ac:dyDescent="0.35">
      <c r="A63" t="s">
        <v>32</v>
      </c>
      <c r="B63" s="8">
        <v>3345677.4043698427</v>
      </c>
      <c r="C63" s="8">
        <v>3345677.4043698427</v>
      </c>
      <c r="D63" s="8">
        <v>0</v>
      </c>
    </row>
    <row r="64" spans="1:5" x14ac:dyDescent="0.35">
      <c r="A64" t="s">
        <v>7</v>
      </c>
      <c r="B64" s="8">
        <v>2406153.5773834353</v>
      </c>
      <c r="C64" s="8">
        <v>2406153.5773834353</v>
      </c>
      <c r="D64" s="8">
        <v>0</v>
      </c>
    </row>
    <row r="65" spans="1:3" x14ac:dyDescent="0.35">
      <c r="A65" t="s">
        <v>8</v>
      </c>
      <c r="C65" s="8">
        <f>SUM(C60:C64)</f>
        <v>8405284.3815497905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0484-F5CF-492E-9022-66F31340CCCF}">
  <dimension ref="A1:F65"/>
  <sheetViews>
    <sheetView zoomScale="71" zoomScaleNormal="85" workbookViewId="0">
      <selection activeCell="J57" sqref="J57"/>
    </sheetView>
  </sheetViews>
  <sheetFormatPr defaultRowHeight="12.75" x14ac:dyDescent="0.35"/>
  <cols>
    <col min="1" max="1" width="25.73046875" customWidth="1"/>
    <col min="2" max="3" width="16.06640625" style="8" bestFit="1" customWidth="1"/>
    <col min="4" max="4" width="13.53125" style="8" bestFit="1" customWidth="1"/>
    <col min="5" max="5" width="23.06640625" style="8" customWidth="1"/>
    <col min="6" max="6" width="9.86328125" style="8" bestFit="1" customWidth="1"/>
    <col min="11" max="11" width="10.6640625" bestFit="1" customWidth="1"/>
  </cols>
  <sheetData>
    <row r="1" spans="1:6" x14ac:dyDescent="0.35">
      <c r="A1" t="s">
        <v>0</v>
      </c>
    </row>
    <row r="3" spans="1:6" x14ac:dyDescent="0.35">
      <c r="A3" s="6" t="s">
        <v>45</v>
      </c>
      <c r="B3" s="13"/>
      <c r="C3" s="13"/>
      <c r="E3" s="18" t="s">
        <v>55</v>
      </c>
      <c r="F3" s="18"/>
    </row>
    <row r="4" spans="1:6" x14ac:dyDescent="0.35">
      <c r="A4" t="s">
        <v>38</v>
      </c>
      <c r="B4" s="8" t="s">
        <v>46</v>
      </c>
      <c r="C4" s="8" t="s">
        <v>47</v>
      </c>
      <c r="E4" s="8" t="s">
        <v>58</v>
      </c>
      <c r="F4" s="8">
        <v>34.775902973178098</v>
      </c>
    </row>
    <row r="5" spans="1:6" x14ac:dyDescent="0.35">
      <c r="A5" t="s">
        <v>48</v>
      </c>
      <c r="B5" s="8">
        <v>2363502141.4407001</v>
      </c>
      <c r="C5" s="8">
        <v>78783404.71469</v>
      </c>
      <c r="E5" s="8" t="s">
        <v>56</v>
      </c>
      <c r="F5" s="8">
        <v>482300.73502702126</v>
      </c>
    </row>
    <row r="6" spans="1:6" x14ac:dyDescent="0.35">
      <c r="A6" t="s">
        <v>49</v>
      </c>
      <c r="B6" s="8">
        <v>90496154.689063728</v>
      </c>
      <c r="C6" s="8">
        <v>3016538.4896354578</v>
      </c>
    </row>
    <row r="7" spans="1:6" x14ac:dyDescent="0.35">
      <c r="A7" t="s">
        <v>50</v>
      </c>
      <c r="B7" s="8">
        <v>2273005986.7516365</v>
      </c>
      <c r="C7" s="8">
        <v>75766866.225054547</v>
      </c>
    </row>
    <row r="9" spans="1:6" x14ac:dyDescent="0.35">
      <c r="A9" s="1" t="s">
        <v>27</v>
      </c>
      <c r="B9" s="16"/>
      <c r="C9" s="16"/>
      <c r="D9" s="16"/>
      <c r="E9" s="16"/>
    </row>
    <row r="10" spans="1:6" x14ac:dyDescent="0.35">
      <c r="A10" t="s">
        <v>1</v>
      </c>
      <c r="B10" s="8" t="s">
        <v>2</v>
      </c>
      <c r="C10" s="8" t="s">
        <v>3</v>
      </c>
      <c r="D10" s="8" t="s">
        <v>4</v>
      </c>
      <c r="E10" s="8" t="s">
        <v>30</v>
      </c>
    </row>
    <row r="11" spans="1:6" x14ac:dyDescent="0.35">
      <c r="A11" t="s">
        <v>5</v>
      </c>
      <c r="B11" s="8">
        <v>2435689.5320482436</v>
      </c>
      <c r="C11" s="8">
        <v>144167875.69699565</v>
      </c>
      <c r="D11" s="8">
        <v>59.189758711062247</v>
      </c>
      <c r="E11" s="8">
        <v>4805595.8565665213</v>
      </c>
    </row>
    <row r="12" spans="1:6" x14ac:dyDescent="0.35">
      <c r="A12" t="s">
        <v>31</v>
      </c>
      <c r="B12" s="8">
        <v>211942.69908815957</v>
      </c>
      <c r="C12" s="8">
        <v>18801183.377595533</v>
      </c>
      <c r="D12" s="8">
        <v>88.708804117734687</v>
      </c>
      <c r="E12" s="8">
        <v>626706.1125865177</v>
      </c>
    </row>
    <row r="13" spans="1:6" x14ac:dyDescent="0.35">
      <c r="A13" t="s">
        <v>6</v>
      </c>
      <c r="B13" s="8">
        <v>3133.6853370906529</v>
      </c>
      <c r="C13" s="8">
        <v>470052.80056359782</v>
      </c>
      <c r="D13" s="8">
        <v>149.99999999999997</v>
      </c>
      <c r="E13" s="8">
        <v>15668.42668545326</v>
      </c>
    </row>
    <row r="14" spans="1:6" x14ac:dyDescent="0.35">
      <c r="A14" t="s">
        <v>32</v>
      </c>
      <c r="B14" s="8">
        <v>3347229.8696727506</v>
      </c>
      <c r="C14" s="8">
        <v>39747548.24746839</v>
      </c>
      <c r="D14" s="8">
        <v>11.874759067967567</v>
      </c>
      <c r="E14" s="8">
        <v>1324918.274915613</v>
      </c>
    </row>
    <row r="15" spans="1:6" x14ac:dyDescent="0.35">
      <c r="A15" t="s">
        <v>7</v>
      </c>
      <c r="B15" s="8">
        <v>2401278.7325729798</v>
      </c>
      <c r="C15" s="8">
        <v>88905695.58544378</v>
      </c>
      <c r="D15" s="8">
        <v>37.024313079298786</v>
      </c>
      <c r="E15" s="8">
        <v>2963523.1861814591</v>
      </c>
    </row>
    <row r="16" spans="1:6" x14ac:dyDescent="0.35">
      <c r="A16" t="s">
        <v>8</v>
      </c>
      <c r="B16" s="8">
        <v>8399274.5187192243</v>
      </c>
      <c r="C16" s="8">
        <v>292092355.70806694</v>
      </c>
      <c r="E16" s="8">
        <v>9736411.8569355644</v>
      </c>
    </row>
    <row r="18" spans="1:5" x14ac:dyDescent="0.35">
      <c r="A18" s="2" t="s">
        <v>28</v>
      </c>
      <c r="B18" s="9"/>
      <c r="C18" s="9"/>
      <c r="D18" s="9"/>
      <c r="E18" s="9"/>
    </row>
    <row r="19" spans="1:5" x14ac:dyDescent="0.35">
      <c r="A19" t="s">
        <v>1</v>
      </c>
      <c r="B19" s="8" t="s">
        <v>9</v>
      </c>
      <c r="C19" s="8" t="s">
        <v>10</v>
      </c>
      <c r="D19" s="8" t="s">
        <v>11</v>
      </c>
      <c r="E19" s="8" t="s">
        <v>33</v>
      </c>
    </row>
    <row r="20" spans="1:5" x14ac:dyDescent="0.35">
      <c r="A20" t="s">
        <v>5</v>
      </c>
      <c r="B20" s="8">
        <v>146815341.80860224</v>
      </c>
      <c r="C20" s="8">
        <v>2583929.3374247677</v>
      </c>
      <c r="D20" s="8">
        <v>4651893.8148657642</v>
      </c>
      <c r="E20" s="8">
        <v>4893844.7269534077</v>
      </c>
    </row>
    <row r="21" spans="1:5" x14ac:dyDescent="0.35">
      <c r="A21" t="s">
        <v>31</v>
      </c>
      <c r="B21" s="8">
        <v>21801741.157413855</v>
      </c>
      <c r="C21" s="8">
        <v>245201.2247015484</v>
      </c>
      <c r="D21" s="8">
        <v>2110674.4126828355</v>
      </c>
      <c r="E21" s="8">
        <v>726724.7052471285</v>
      </c>
    </row>
    <row r="22" spans="1:5" x14ac:dyDescent="0.35">
      <c r="A22" t="s">
        <v>6</v>
      </c>
      <c r="B22" s="8">
        <v>475374.37635381037</v>
      </c>
      <c r="C22" s="8">
        <v>3133.6853370906529</v>
      </c>
      <c r="D22" s="8">
        <v>7671.4184575352037</v>
      </c>
      <c r="E22" s="8">
        <v>15845.812545127012</v>
      </c>
    </row>
    <row r="23" spans="1:5" x14ac:dyDescent="0.35">
      <c r="A23" t="s">
        <v>32</v>
      </c>
      <c r="B23" s="8">
        <v>39289751.2680448</v>
      </c>
      <c r="C23" s="8">
        <v>3513041.4076227513</v>
      </c>
      <c r="D23" s="8">
        <v>3633420.649892285</v>
      </c>
      <c r="E23" s="8">
        <v>1309658.3756014933</v>
      </c>
    </row>
    <row r="24" spans="1:5" x14ac:dyDescent="0.35">
      <c r="A24" t="s">
        <v>7</v>
      </c>
      <c r="B24" s="8">
        <v>72493981.666149721</v>
      </c>
      <c r="C24" s="8">
        <v>2435823.5121525368</v>
      </c>
      <c r="D24" s="8">
        <v>6984529.5896440241</v>
      </c>
      <c r="E24" s="8">
        <v>2416466.0555383242</v>
      </c>
    </row>
    <row r="25" spans="1:5" x14ac:dyDescent="0.35">
      <c r="A25" t="s">
        <v>12</v>
      </c>
      <c r="B25" s="8">
        <v>280876190.27656448</v>
      </c>
      <c r="E25" s="8">
        <v>9362539.6758854818</v>
      </c>
    </row>
    <row r="27" spans="1:5" x14ac:dyDescent="0.35">
      <c r="A27" s="3" t="s">
        <v>13</v>
      </c>
      <c r="B27" s="10"/>
      <c r="C27" s="10"/>
    </row>
    <row r="28" spans="1:5" x14ac:dyDescent="0.35">
      <c r="A28" t="s">
        <v>1</v>
      </c>
      <c r="B28" s="8" t="s">
        <v>34</v>
      </c>
      <c r="C28" s="8" t="s">
        <v>35</v>
      </c>
    </row>
    <row r="29" spans="1:5" x14ac:dyDescent="0.35">
      <c r="A29" t="s">
        <v>5</v>
      </c>
      <c r="B29" s="8">
        <v>73070685.961447358</v>
      </c>
      <c r="C29" s="8">
        <v>2435689.5320482454</v>
      </c>
    </row>
    <row r="30" spans="1:5" x14ac:dyDescent="0.35">
      <c r="A30" t="s">
        <v>31</v>
      </c>
      <c r="B30" s="8">
        <v>16955415.927052766</v>
      </c>
      <c r="C30" s="8">
        <v>565180.53090175882</v>
      </c>
    </row>
    <row r="31" spans="1:5" x14ac:dyDescent="0.35">
      <c r="A31" t="s">
        <v>6</v>
      </c>
      <c r="B31" s="8">
        <v>470052.80056359782</v>
      </c>
      <c r="C31" s="8">
        <v>15668.42668545326</v>
      </c>
    </row>
    <row r="32" spans="1:5" x14ac:dyDescent="0.35">
      <c r="A32" t="s">
        <v>32</v>
      </c>
      <c r="B32" s="8">
        <v>0</v>
      </c>
      <c r="C32" s="8">
        <v>0</v>
      </c>
    </row>
    <row r="33" spans="1:3" x14ac:dyDescent="0.35">
      <c r="A33" t="s">
        <v>7</v>
      </c>
      <c r="B33" s="8">
        <v>0</v>
      </c>
      <c r="C33" s="8">
        <v>0</v>
      </c>
    </row>
    <row r="34" spans="1:3" x14ac:dyDescent="0.35">
      <c r="A34" t="s">
        <v>14</v>
      </c>
      <c r="B34" s="8">
        <v>90496154.689063728</v>
      </c>
      <c r="C34" s="8">
        <v>3016538.4896354578</v>
      </c>
    </row>
    <row r="35" spans="1:3" x14ac:dyDescent="0.35">
      <c r="A35" t="s">
        <v>15</v>
      </c>
      <c r="B35" s="8">
        <v>129836.66382935972</v>
      </c>
    </row>
    <row r="37" spans="1:3" x14ac:dyDescent="0.35">
      <c r="A37" s="4" t="s">
        <v>16</v>
      </c>
      <c r="B37" s="11"/>
      <c r="C37" s="11"/>
    </row>
    <row r="38" spans="1:3" x14ac:dyDescent="0.35">
      <c r="A38" t="s">
        <v>1</v>
      </c>
      <c r="B38" s="8" t="s">
        <v>36</v>
      </c>
      <c r="C38" s="8" t="s">
        <v>37</v>
      </c>
    </row>
    <row r="39" spans="1:3" x14ac:dyDescent="0.35">
      <c r="A39" t="s">
        <v>5</v>
      </c>
      <c r="B39" s="8">
        <v>73744655.847154886</v>
      </c>
      <c r="C39" s="8">
        <v>2458155.1949051628</v>
      </c>
    </row>
    <row r="40" spans="1:3" x14ac:dyDescent="0.35">
      <c r="A40" t="s">
        <v>31</v>
      </c>
      <c r="B40" s="8">
        <v>4846325.2303610891</v>
      </c>
      <c r="C40" s="8">
        <v>161544.17434536963</v>
      </c>
    </row>
    <row r="41" spans="1:3" ht="12.4" customHeight="1" x14ac:dyDescent="0.35">
      <c r="A41" t="s">
        <v>6</v>
      </c>
      <c r="B41" s="8">
        <v>5321.5757902125479</v>
      </c>
      <c r="C41" s="8">
        <v>177.38585967375158</v>
      </c>
    </row>
    <row r="42" spans="1:3" x14ac:dyDescent="0.35">
      <c r="A42" t="s">
        <v>32</v>
      </c>
      <c r="B42" s="8">
        <v>39289751.2680448</v>
      </c>
      <c r="C42" s="8">
        <v>1309658.3756014933</v>
      </c>
    </row>
    <row r="43" spans="1:3" x14ac:dyDescent="0.35">
      <c r="A43" t="s">
        <v>7</v>
      </c>
      <c r="B43" s="8">
        <v>72493981.666149721</v>
      </c>
      <c r="C43" s="8">
        <v>2416466.0555383242</v>
      </c>
    </row>
    <row r="44" spans="1:3" x14ac:dyDescent="0.35">
      <c r="A44" t="s">
        <v>17</v>
      </c>
      <c r="B44" s="8">
        <v>190380035.58750069</v>
      </c>
      <c r="C44" s="8">
        <v>6346001.1862500235</v>
      </c>
    </row>
    <row r="46" spans="1:3" x14ac:dyDescent="0.35">
      <c r="A46" s="5" t="s">
        <v>18</v>
      </c>
      <c r="B46" s="12"/>
    </row>
    <row r="47" spans="1:3" x14ac:dyDescent="0.35">
      <c r="A47" t="s">
        <v>38</v>
      </c>
      <c r="B47" s="8" t="s">
        <v>8</v>
      </c>
      <c r="C47" s="8" t="s">
        <v>39</v>
      </c>
    </row>
    <row r="48" spans="1:3" x14ac:dyDescent="0.35">
      <c r="A48" t="s">
        <v>40</v>
      </c>
      <c r="B48" s="8">
        <v>191415.74785893201</v>
      </c>
      <c r="C48" s="8">
        <v>6380.5249286310673</v>
      </c>
    </row>
    <row r="49" spans="1:5" x14ac:dyDescent="0.35">
      <c r="A49" t="s">
        <v>41</v>
      </c>
      <c r="B49" s="8">
        <v>240982.40476411386</v>
      </c>
      <c r="C49" s="8">
        <v>8032.7468254704618</v>
      </c>
    </row>
    <row r="50" spans="1:5" x14ac:dyDescent="0.35">
      <c r="A50" t="s">
        <v>19</v>
      </c>
      <c r="B50" s="8">
        <v>67.83960025514439</v>
      </c>
      <c r="E50" s="8" t="s">
        <v>51</v>
      </c>
    </row>
    <row r="51" spans="1:5" x14ac:dyDescent="0.35">
      <c r="A51" t="s">
        <v>20</v>
      </c>
      <c r="B51" s="8">
        <v>14.662268030314678</v>
      </c>
    </row>
    <row r="52" spans="1:5" x14ac:dyDescent="0.35">
      <c r="A52" t="s">
        <v>21</v>
      </c>
      <c r="B52" s="8">
        <v>12985567.817289459</v>
      </c>
      <c r="C52" s="8">
        <v>432852.26057631528</v>
      </c>
    </row>
    <row r="53" spans="1:5" x14ac:dyDescent="0.35">
      <c r="A53" t="s">
        <v>22</v>
      </c>
      <c r="B53" s="8">
        <v>3533348.6092412183</v>
      </c>
      <c r="C53" s="8">
        <v>117778.28697470728</v>
      </c>
    </row>
    <row r="54" spans="1:5" x14ac:dyDescent="0.35">
      <c r="A54" t="s">
        <v>23</v>
      </c>
      <c r="B54" s="8">
        <v>9452219.2080482394</v>
      </c>
      <c r="C54" s="8">
        <v>315073.97360160796</v>
      </c>
    </row>
    <row r="55" spans="1:5" x14ac:dyDescent="0.35">
      <c r="A55" t="s">
        <v>59</v>
      </c>
      <c r="B55" s="8">
        <v>45366.656905181851</v>
      </c>
      <c r="C55" s="8">
        <v>1512.221896839395</v>
      </c>
    </row>
    <row r="56" spans="1:5" x14ac:dyDescent="0.35">
      <c r="A56" t="s">
        <v>60</v>
      </c>
      <c r="B56" s="8">
        <v>4200</v>
      </c>
    </row>
    <row r="58" spans="1:5" x14ac:dyDescent="0.35">
      <c r="A58" s="6" t="s">
        <v>29</v>
      </c>
      <c r="B58" s="13"/>
      <c r="C58" s="13"/>
      <c r="D58" s="13"/>
    </row>
    <row r="59" spans="1:5" x14ac:dyDescent="0.35">
      <c r="A59" t="s">
        <v>1</v>
      </c>
      <c r="B59" s="8" t="s">
        <v>24</v>
      </c>
      <c r="C59" s="8" t="s">
        <v>25</v>
      </c>
      <c r="D59" s="8" t="s">
        <v>26</v>
      </c>
    </row>
    <row r="60" spans="1:5" x14ac:dyDescent="0.35">
      <c r="A60" t="s">
        <v>5</v>
      </c>
      <c r="B60" s="8">
        <v>2435689.5320482436</v>
      </c>
      <c r="C60" s="8">
        <v>2435689.5320482436</v>
      </c>
      <c r="D60" s="8">
        <v>0</v>
      </c>
    </row>
    <row r="61" spans="1:5" x14ac:dyDescent="0.35">
      <c r="A61" t="s">
        <v>31</v>
      </c>
      <c r="B61" s="8">
        <v>211942.69908815957</v>
      </c>
      <c r="C61" s="8">
        <v>211942.69908815957</v>
      </c>
      <c r="D61" s="8">
        <v>1.1368683772161603E-13</v>
      </c>
    </row>
    <row r="62" spans="1:5" x14ac:dyDescent="0.35">
      <c r="A62" t="s">
        <v>6</v>
      </c>
      <c r="B62" s="8">
        <v>3133.6853370906529</v>
      </c>
      <c r="C62" s="8">
        <v>3133.6853370906529</v>
      </c>
      <c r="D62" s="8">
        <v>2.8421709430404007E-14</v>
      </c>
    </row>
    <row r="63" spans="1:5" x14ac:dyDescent="0.35">
      <c r="A63" t="s">
        <v>32</v>
      </c>
      <c r="B63" s="8">
        <v>3347229.8696727506</v>
      </c>
      <c r="C63" s="8">
        <v>3347229.8696727506</v>
      </c>
      <c r="D63" s="8">
        <v>0</v>
      </c>
    </row>
    <row r="64" spans="1:5" x14ac:dyDescent="0.35">
      <c r="A64" t="s">
        <v>7</v>
      </c>
      <c r="B64" s="8">
        <v>2401278.7325729798</v>
      </c>
      <c r="C64" s="8">
        <v>2401278.7325729798</v>
      </c>
      <c r="D64" s="8">
        <v>0</v>
      </c>
    </row>
    <row r="65" spans="1:3" x14ac:dyDescent="0.35">
      <c r="A65" t="s">
        <v>8</v>
      </c>
      <c r="C65" s="8">
        <f>SUM(C60:C64)</f>
        <v>8399274.5187192243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4AAD-BFA3-45E4-8DCE-8C7BF796E691}">
  <dimension ref="A1:D22"/>
  <sheetViews>
    <sheetView tabSelected="1" zoomScaleNormal="100" workbookViewId="0">
      <selection activeCell="F8" sqref="F8"/>
    </sheetView>
  </sheetViews>
  <sheetFormatPr defaultRowHeight="12.75" x14ac:dyDescent="0.35"/>
  <cols>
    <col min="1" max="1" width="23.265625" customWidth="1"/>
    <col min="2" max="2" width="13.46484375" bestFit="1" customWidth="1"/>
    <col min="3" max="3" width="12.3984375" bestFit="1" customWidth="1"/>
    <col min="4" max="4" width="13.9296875" bestFit="1" customWidth="1"/>
  </cols>
  <sheetData>
    <row r="1" spans="1:4" x14ac:dyDescent="0.35">
      <c r="B1" t="s">
        <v>52</v>
      </c>
      <c r="C1" t="s">
        <v>53</v>
      </c>
      <c r="D1" t="s">
        <v>44</v>
      </c>
    </row>
    <row r="2" spans="1:4" x14ac:dyDescent="0.35">
      <c r="A2" t="s">
        <v>42</v>
      </c>
      <c r="B2" s="8">
        <f>Rolling!C34</f>
        <v>3012672.3306535208</v>
      </c>
      <c r="C2" s="8">
        <f>Fixed!C34</f>
        <v>3016538.4896354578</v>
      </c>
      <c r="D2" s="15">
        <f>(C2-B2)/B2</f>
        <v>1.2832988647983239E-3</v>
      </c>
    </row>
    <row r="3" spans="1:4" x14ac:dyDescent="0.35">
      <c r="A3" t="s">
        <v>54</v>
      </c>
      <c r="B3" s="8">
        <f>Rolling!C7</f>
        <v>75782613.471975014</v>
      </c>
      <c r="C3" s="8">
        <f>Fixed!C7</f>
        <v>75766866.225054547</v>
      </c>
      <c r="D3" s="15">
        <f t="shared" ref="D3:D4" si="0">(C3-B3)/B3</f>
        <v>-2.0779498355899106E-4</v>
      </c>
    </row>
    <row r="4" spans="1:4" x14ac:dyDescent="0.35">
      <c r="A4" t="s">
        <v>61</v>
      </c>
      <c r="B4" s="8">
        <f>Rolling!F5</f>
        <v>477425.89021656604</v>
      </c>
      <c r="C4" s="8">
        <f>Fixed!F5</f>
        <v>482300.73502702126</v>
      </c>
      <c r="D4" s="15">
        <f t="shared" si="0"/>
        <v>1.0210683815751876E-2</v>
      </c>
    </row>
    <row r="5" spans="1:4" x14ac:dyDescent="0.35">
      <c r="A5" t="s">
        <v>43</v>
      </c>
      <c r="B5" s="8">
        <f>Rolling!C54</f>
        <v>331832.76281692245</v>
      </c>
      <c r="C5" s="8">
        <f>Fixed!C54</f>
        <v>315073.97360160796</v>
      </c>
      <c r="D5" s="14">
        <f>(C5-B5)/B5</f>
        <v>-5.0503720829279869E-2</v>
      </c>
    </row>
    <row r="6" spans="1:4" x14ac:dyDescent="0.35">
      <c r="A6" t="s">
        <v>62</v>
      </c>
      <c r="B6" s="8"/>
      <c r="C6" s="8"/>
      <c r="D6" s="14"/>
    </row>
    <row r="7" spans="1:4" x14ac:dyDescent="0.35">
      <c r="A7" s="7" t="s">
        <v>5</v>
      </c>
      <c r="B7" s="8">
        <f>Rolling!B39</f>
        <v>61124271.081876725</v>
      </c>
      <c r="C7" s="8">
        <f>Fixed!B39</f>
        <v>73744655.847154886</v>
      </c>
      <c r="D7" s="14">
        <f>(C7-B7)/B7</f>
        <v>0.20647092459185318</v>
      </c>
    </row>
    <row r="8" spans="1:4" x14ac:dyDescent="0.35">
      <c r="A8" s="7" t="s">
        <v>31</v>
      </c>
      <c r="B8" s="8">
        <f>Rolling!B40</f>
        <v>5186757.2002650071</v>
      </c>
      <c r="C8" s="8">
        <f>Fixed!B40</f>
        <v>4846325.2303610891</v>
      </c>
      <c r="D8" s="14">
        <f>(C8-B8)/B8</f>
        <v>-6.5634838254338232E-2</v>
      </c>
    </row>
    <row r="9" spans="1:4" x14ac:dyDescent="0.35">
      <c r="A9" s="7" t="s">
        <v>6</v>
      </c>
      <c r="B9" s="8">
        <f>Rolling!B41</f>
        <v>0</v>
      </c>
      <c r="C9" s="8">
        <f>Fixed!B41</f>
        <v>5321.5757902125479</v>
      </c>
      <c r="D9" s="14" t="e">
        <f>(C9-B9)/B9</f>
        <v>#DIV/0!</v>
      </c>
    </row>
    <row r="10" spans="1:4" x14ac:dyDescent="0.35">
      <c r="A10" s="7" t="s">
        <v>32</v>
      </c>
      <c r="B10" s="8">
        <f>Rolling!B42</f>
        <v>28935137.205064368</v>
      </c>
      <c r="C10" s="8">
        <f>Fixed!B42</f>
        <v>39289751.2680448</v>
      </c>
      <c r="D10" s="14">
        <f>(C10-B10)/B10</f>
        <v>0.35785605541100102</v>
      </c>
    </row>
    <row r="11" spans="1:4" x14ac:dyDescent="0.35">
      <c r="A11" s="7" t="s">
        <v>7</v>
      </c>
      <c r="B11" s="8">
        <f>Rolling!B43</f>
        <v>59426001.622067861</v>
      </c>
      <c r="C11" s="8">
        <f>Fixed!B43</f>
        <v>72493981.666149721</v>
      </c>
      <c r="D11" s="14">
        <f>(C11-B11)/B11</f>
        <v>0.21990340402153291</v>
      </c>
    </row>
    <row r="18" spans="2:4" x14ac:dyDescent="0.35">
      <c r="B18" s="17"/>
      <c r="C18" s="17"/>
      <c r="D18" s="17"/>
    </row>
    <row r="19" spans="2:4" x14ac:dyDescent="0.35">
      <c r="B19" s="8"/>
      <c r="C19" s="8"/>
      <c r="D19" s="8"/>
    </row>
    <row r="20" spans="2:4" x14ac:dyDescent="0.35">
      <c r="B20" s="8"/>
      <c r="C20" s="8"/>
      <c r="D20" s="8"/>
    </row>
    <row r="21" spans="2:4" x14ac:dyDescent="0.35">
      <c r="B21" s="8"/>
      <c r="C21" s="8"/>
      <c r="D21" s="8"/>
    </row>
    <row r="22" spans="2:4" x14ac:dyDescent="0.35">
      <c r="B22" s="8"/>
      <c r="C22" s="8"/>
      <c r="D22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Rolling</vt:lpstr>
      <vt:lpstr>Fixed</vt:lpstr>
      <vt:lpstr>Comparison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Linuesa-Domenech, Laura</dc:creator>
  <cp:lastModifiedBy>Linuesa-Domenech, Laura</cp:lastModifiedBy>
  <dcterms:created xsi:type="dcterms:W3CDTF">2026-01-27T15:50:57Z</dcterms:created>
  <dcterms:modified xsi:type="dcterms:W3CDTF">2026-03-20T10:59:54Z</dcterms:modified>
</cp:coreProperties>
</file>